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8ef53951b0c48ea" /></Relationships>
</file>

<file path=xl/workbook.xml><?xml version="1.0" encoding="utf-8"?>
<x:workbook xmlns:x="http://schemas.openxmlformats.org/spreadsheetml/2006/main">
  <x:sheets>
    <x:sheet xmlns:r="http://schemas.openxmlformats.org/officeDocument/2006/relationships" name="本批结果" sheetId="1" r:id="Rdb7395b9c4a14a57"/>
    <x:sheet xmlns:r="http://schemas.openxmlformats.org/officeDocument/2006/relationships" name="500条逐项结果" sheetId="2" r:id="Rd4db054ea7e8436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263445"/>
      <x:name val="Arial"/>
    </x:font>
    <x:font>
      <x:b/>
      <x:sz val="14"/>
      <x:color rgb="FF263445"/>
      <x:name val="Arial"/>
    </x:font>
    <x:font>
      <x:b/>
      <x:sz val="10"/>
      <x:color rgb="FFFFFFFF"/>
      <x:name val="Arial"/>
    </x:font>
  </x:fonts>
  <x:fills count="4">
    <x:fill>
      <x:patternFill patternType="none"/>
    </x:fill>
    <x:fill>
      <x:patternFill patternType="gray125"/>
    </x:fill>
    <x:fill>
      <x:patternFill patternType="solid">
        <x:fgColor rgb="FF334155"/>
      </x:patternFill>
    </x:fill>
    <x:fill>
      <x:patternFill patternType="solid">
        <x:fgColor rgb="FFFFF2CC"/>
      </x:patternFill>
    </x:fill>
  </x:fills>
  <x:borders count="1">
    <x:border>
      <x:left/>
      <x:right/>
      <x:top/>
      <x:bottom/>
      <x:diagonal/>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horizontal="center" vertical="center"/>
    </x:xf>
    <x:xf numFmtId="0" fontId="1"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abd6eabe5fd4a5f" /><Relationship Type="http://schemas.openxmlformats.org/officeDocument/2006/relationships/theme" Target="/xl/theme/theme1.xml" Id="Rbbef76a53d1a449a" /><Relationship Type="http://schemas.openxmlformats.org/officeDocument/2006/relationships/sharedStrings" Target="/xl/sharedStrings.xml" Id="R873e2f1a6d7c4af3" /><Relationship Type="http://schemas.openxmlformats.org/officeDocument/2006/relationships/worksheet" Target="/xl/worksheets/sheet1.xml" Id="Rdb7395b9c4a14a57" /><Relationship Type="http://schemas.openxmlformats.org/officeDocument/2006/relationships/worksheet" Target="/xl/worksheets/sheet2.xml" Id="Rd4db054ea7e84362" /></Relationships>
</file>

<file path=xl/tables/table1.xml><?xml version="1.0" encoding="utf-8"?>
<x:table xmlns:x="http://schemas.openxmlformats.org/spreadsheetml/2006/main" id="1" name="Pilot500" displayName="Pilot500" ref="A4:R504" headerRowCount="1" totalsRowCount="0" totalsRowShown="0">
  <x:tableColumns count="18">
    <x:tableColumn id="1" name="编号"/>
    <x:tableColumn id="2" name="西语原始品名"/>
    <x:tableColumn id="3" name="商品主体候选"/>
    <x:tableColumn id="4" name="用途候选"/>
    <x:tableColumn id="5" name="筛选候选"/>
    <x:tableColumn id="6" name="观察原因"/>
    <x:tableColumn id="7" name="Action SKU"/>
    <x:tableColumn id="8" name="Action原始品名"/>
    <x:tableColumn id="9" name="参照关系"/>
    <x:tableColumn id="10" name="判断说明"/>
    <x:tableColumn id="11" name="未确认信息"/>
    <x:tableColumn id="12" name="商品链接"/>
    <x:tableColumn id="13" name="来源记录ID"/>
    <x:tableColumn id="14" name="来源绑定Hash"/>
    <x:tableColumn id="15" name="人工裁定"/>
    <x:tableColumn id="16" name="人工原因"/>
    <x:tableColumn id="17" name="审核人"/>
    <x:tableColumn id="18" name="证据引用"/>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3c0a4ac627e468b" /></Relationships>
</file>

<file path=xl/worksheets/sheet1.xml><?xml version="1.0" encoding="utf-8"?>
<x:worksheet xmlns:x="http://schemas.openxmlformats.org/spreadsheetml/2006/main">
  <x:sheetViews>
    <x:sheetView showGridLines="0" workbookViewId="0"/>
  </x:sheetViews>
  <x:sheetFormatPr defaultRowHeight="15"/>
  <x:cols>
    <x:col min="1" max="1" width="39" hidden="0" customWidth="1"/>
    <x:col min="2" max="2" width="24" hidden="0" customWidth="1"/>
    <x:col min="3" max="3" width="72" hidden="0" customWidth="1"/>
    <x:col min="4" max="4" width="30" hidden="0" customWidth="1"/>
    <x:col min="5" max="5" width="30" hidden="0" customWidth="1"/>
  </x:cols>
  <x:sheetData>
    <x:row r="1">
      <x:c r="A1" s="2"/>
      <x:c r="B1" s="2"/>
      <x:c r="C1" s="2"/>
      <x:c r="D1" s="2"/>
      <x:c r="E1" s="2"/>
    </x:row>
    <x:row r="2" ht="30" customHeight="1">
      <x:c r="A2" s="3" t="str">
        <x:v>Boundary V0.3 新500条辅助初筛</x:v>
      </x:c>
      <x:c r="B2" s="2"/>
      <x:c r="C2" s="2"/>
      <x:c r="D2" s="2"/>
      <x:c r="E2" s="2"/>
    </x:row>
    <x:row r="3">
      <x:c r="A3" s="2" t="str">
        <x:v>本批沿用冻结规则。三态均为AI候选，未经本批人工确认。</x:v>
      </x:c>
      <x:c r="B3" s="2"/>
      <x:c r="C3" s="2"/>
      <x:c r="D3" s="2"/>
      <x:c r="E3" s="2"/>
    </x:row>
    <x:row r="4">
      <x:c r="A4" s="2"/>
      <x:c r="B4" s="2"/>
      <x:c r="C4" s="2"/>
      <x:c r="D4" s="2"/>
      <x:c r="E4" s="2"/>
    </x:row>
    <x:row r="5" ht="28" customHeight="1">
      <x:c r="A5" s="7" t="str">
        <x:v>筛选候选</x:v>
      </x:c>
      <x:c r="B5" s="7" t="str">
        <x:v>数量</x:v>
      </x:c>
      <x:c r="C5" s="7" t="str">
        <x:v>含义</x:v>
      </x:c>
      <x:c r="D5" s="2"/>
      <x:c r="E5" s="2"/>
    </x:row>
    <x:row r="6" ht="28" customHeight="1">
      <x:c r="A6" s="2" t="str">
        <x:v>保留</x:v>
      </x:c>
      <x:c r="B6" s="2" t="n">
        <x:f>COUNTIFS('500条逐项结果'!$E$5:$E$504,A6)</x:f>
        <x:v>229</x:v>
      </x:c>
      <x:c r="C6" s="2" t="str">
        <x:v>进入商品研究候选</x:v>
      </x:c>
      <x:c r="D6" s="2"/>
      <x:c r="E6" s="2"/>
    </x:row>
    <x:row r="7" ht="28" customHeight="1">
      <x:c r="A7" s="2" t="str">
        <x:v>观察</x:v>
      </x:c>
      <x:c r="B7" s="2" t="n">
        <x:f>COUNTIFS('500条逐项结果'!$E$5:$E$504,A7)</x:f>
        <x:v>271</x:v>
      </x:c>
      <x:c r="C7" s="2" t="str">
        <x:v>信息、参照或经营边界仍待复核</x:v>
      </x:c>
      <x:c r="D7" s="2"/>
      <x:c r="E7" s="2"/>
    </x:row>
    <x:row r="8" ht="28" customHeight="1">
      <x:c r="A8" s="2" t="str">
        <x:v>用不到</x:v>
      </x:c>
      <x:c r="B8" s="2" t="n">
        <x:f>COUNTIFS('500条逐项结果'!$E$5:$E$504,A8)</x:f>
        <x:v>0</x:v>
      </x:c>
      <x:c r="C8" s="2" t="str">
        <x:v>待人工核对的排除候选，保留原记录</x:v>
      </x:c>
      <x:c r="D8" s="2"/>
      <x:c r="E8" s="2"/>
    </x:row>
    <x:row r="9" ht="28" customHeight="1">
      <x:c r="A9" s="2" t="str">
        <x:v>本批总数</x:v>
      </x:c>
      <x:c r="B9" s="2" t="n">
        <x:f>SUM(B6:B8)</x:f>
        <x:v>500</x:v>
      </x:c>
      <x:c r="C9" s="2"/>
      <x:c r="D9" s="2"/>
      <x:c r="E9" s="2"/>
    </x:row>
    <x:row r="10" ht="28" customHeight="1">
      <x:c r="A10" s="2"/>
      <x:c r="B10" s="2"/>
      <x:c r="C10" s="2"/>
      <x:c r="D10" s="2"/>
      <x:c r="E10" s="2"/>
    </x:row>
    <x:row r="11" ht="28" customHeight="1">
      <x:c r="A11" s="7" t="str">
        <x:v>样本与记录</x:v>
      </x:c>
      <x:c r="B11" s="7" t="str">
        <x:v>数量或状态</x:v>
      </x:c>
      <x:c r="C11" s="7" t="str">
        <x:v>说明</x:v>
      </x:c>
      <x:c r="D11" s="2"/>
      <x:c r="E11" s="2"/>
    </x:row>
    <x:row r="12" ht="28" customHeight="1">
      <x:c r="A12" s="2" t="str">
        <x:v>源快照记录</x:v>
      </x:c>
      <x:c r="B12" s="2" t="n">
        <x:v>25152</x:v>
      </x:c>
      <x:c r="C12" s="2" t="str">
        <x:v>URL来源记录，不代表已核实的可购买SKU数量</x:v>
      </x:c>
      <x:c r="D12" s="2"/>
      <x:c r="E12" s="2"/>
    </x:row>
    <x:row r="13" ht="28" customHeight="1">
      <x:c r="A13" s="2" t="str">
        <x:v>抽样前可用不同样本</x:v>
      </x:c>
      <x:c r="B13" s="2" t="n">
        <x:v>17376</x:v>
      </x:c>
      <x:c r="C13" s="2" t="str">
        <x:v>排除已参与专项复核的标题及ASIN提示</x:v>
      </x:c>
      <x:c r="D13" s="2"/>
      <x:c r="E13" s="2"/>
    </x:row>
    <x:row r="14" ht="28" customHeight="1">
      <x:c r="A14" s="2" t="str">
        <x:v>本次新抽</x:v>
      </x:c>
      <x:c r="B14" s="2" t="n">
        <x:v>500</x:v>
      </x:c>
      <x:c r="C14" s="2" t="str">
        <x:v>普通随机，不人为设置排除比例</x:v>
      </x:c>
      <x:c r="D14" s="2"/>
      <x:c r="E14" s="2"/>
    </x:row>
    <x:row r="15" ht="28" customHeight="1">
      <x:c r="A15" s="2" t="str">
        <x:v>抽取后仍可用</x:v>
      </x:c>
      <x:c r="B15" s="2" t="n">
        <x:v>16876</x:v>
      </x:c>
      <x:c r="C15" s="2" t="str">
        <x:v>同一来源快照中的剩余样本</x:v>
      </x:c>
      <x:c r="D15" s="2"/>
      <x:c r="E15" s="2"/>
    </x:row>
    <x:row r="16" ht="28" customHeight="1">
      <x:c r="A16" s="2" t="str">
        <x:v>已知旧样本重叠</x:v>
      </x:c>
      <x:c r="B16" s="2" t="n">
        <x:v>0</x:v>
      </x:c>
      <x:c r="C16" s="2" t="str">
        <x:v>标题与ASIN提示核对均为0</x:v>
      </x:c>
      <x:c r="D16" s="2"/>
      <x:c r="E16" s="2"/>
    </x:row>
    <x:row r="17" ht="28" customHeight="1">
      <x:c r="A17" s="2" t="str">
        <x:v>已填人工裁定</x:v>
      </x:c>
      <x:c r="B17" s="2" t="n">
        <x:f>COUNTIFS('500条逐项结果'!$O$5:$O$504,"&lt;&gt;")</x:f>
        <x:v>0</x:v>
      </x:c>
      <x:c r="C17" s="2" t="str">
        <x:v>填写后仍需核验审核人和证据</x:v>
      </x:c>
      <x:c r="D17" s="2"/>
      <x:c r="E17" s="2"/>
    </x:row>
    <x:row r="18" ht="28" customHeight="1">
      <x:c r="A18" s="2" t="str">
        <x:v>人工信息完整</x:v>
      </x:c>
      <x:c r="B18" s="2" t="n">
        <x:f>COUNTIFS('500条逐项结果'!$O$5:$O$504,"&lt;&gt;",'500条逐项结果'!$Q$5:$Q$504,"&lt;&gt;",'500条逐项结果'!$R$5:$R$504,"&lt;&gt;")</x:f>
        <x:v>0</x:v>
      </x:c>
      <x:c r="C18" s="2" t="str">
        <x:v>须同时填写裁定、审核人和证据</x:v>
      </x:c>
      <x:c r="D18" s="2"/>
      <x:c r="E18" s="2"/>
    </x:row>
    <x:row r="19" ht="28" customHeight="1">
      <x:c r="A19" s="2" t="str">
        <x:v>本批已确认人工标签</x:v>
      </x:c>
      <x:c r="B19" s="2" t="n">
        <x:v>0</x:v>
      </x:c>
      <x:c r="C19" s="2" t="str">
        <x:v>旧3条反馈不泛化为本批标签</x:v>
      </x:c>
      <x:c r="D19" s="2"/>
      <x:c r="E19" s="2"/>
    </x:row>
    <x:row r="20" ht="28" customHeight="1">
      <x:c r="A20" s="2" t="str">
        <x:v>真实准确率</x:v>
      </x:c>
      <x:c r="B20" s="2" t="str">
        <x:v>未测量</x:v>
      </x:c>
      <x:c r="C20" s="2" t="str">
        <x:v>需要独立人工确认标签</x:v>
      </x:c>
      <x:c r="D20" s="2"/>
      <x:c r="E20" s="2"/>
    </x:row>
    <x:row r="21" ht="28" customHeight="1">
      <x:c r="A21" s="2" t="str">
        <x:v>规则版本</x:v>
      </x:c>
      <x:c r="B21" s="2" t="str">
        <x:v>V0.3冻结</x:v>
      </x:c>
      <x:c r="C21" s="2" t="str">
        <x:v>没有边测边改规则</x:v>
      </x:c>
      <x:c r="D21" s="2"/>
      <x:c r="E21" s="2"/>
    </x:row>
    <x:row r="22" ht="28" customHeight="1">
      <x:c r="A22" s="2" t="str">
        <x:v>Master与原始快照</x:v>
      </x:c>
      <x:c r="B22" s="2" t="str">
        <x:v>未修改</x:v>
      </x:c>
      <x:c r="C22" s="2" t="str">
        <x:v>旧结果与人工反馈保留</x:v>
      </x:c>
      <x:c r="D22" s="2"/>
      <x:c r="E22" s="2"/>
    </x:row>
    <x:row r="23" ht="28" customHeight="1">
      <x:c r="A23" s="2" t="str">
        <x:v>全量筛选</x:v>
      </x:c>
      <x:c r="B23" s="2" t="str">
        <x:v>未执行</x:v>
      </x:c>
      <x:c r="C23" s="2" t="str">
        <x:v>本轮仅新500条</x:v>
      </x:c>
      <x:c r="D23" s="2"/>
      <x:c r="E23" s="2"/>
    </x:row>
    <x:row r="24">
      <x:c r="A24" s="2"/>
      <x:c r="B24" s="2"/>
      <x:c r="C24" s="2"/>
      <x:c r="D24" s="2"/>
      <x:c r="E24" s="2"/>
    </x:row>
    <x:row r="25">
      <x:c r="A25" s="2"/>
      <x:c r="B25" s="2"/>
      <x:c r="C25" s="2"/>
      <x:c r="D25" s="2"/>
      <x:c r="E25" s="2"/>
    </x:row>
    <x:row r="26">
      <x:c r="A26" s="2"/>
      <x:c r="B26" s="2"/>
      <x:c r="C26" s="2"/>
      <x:c r="D26" s="2"/>
      <x:c r="E26" s="2"/>
    </x:row>
    <x:row r="27">
      <x:c r="A27" s="2"/>
      <x:c r="B27" s="2"/>
      <x:c r="C27" s="2"/>
      <x:c r="D27" s="2"/>
      <x:c r="E27" s="2"/>
    </x:row>
    <x:row r="28">
      <x:c r="A28" s="2"/>
      <x:c r="B28" s="2"/>
      <x:c r="C28" s="2"/>
      <x:c r="D28" s="2"/>
      <x:c r="E28"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0" hidden="0" customWidth="1"/>
    <x:col min="2" max="2" width="78" hidden="0" customWidth="1"/>
    <x:col min="3" max="3" width="32" hidden="0" customWidth="1"/>
    <x:col min="4" max="4" width="43" hidden="0" customWidth="1"/>
    <x:col min="5" max="5" width="15" hidden="0" customWidth="1"/>
    <x:col min="6" max="6" width="36" hidden="0" customWidth="1"/>
    <x:col min="7" max="7" width="16" hidden="0" customWidth="1"/>
    <x:col min="8" max="8" width="55" hidden="0" customWidth="1"/>
    <x:col min="9" max="9" width="22" hidden="0" customWidth="1"/>
    <x:col min="10" max="10" width="74" hidden="0" customWidth="1"/>
    <x:col min="11" max="11" width="52" hidden="0" customWidth="1"/>
    <x:col min="12" max="12" width="62" hidden="0" customWidth="1"/>
    <x:col min="13" max="13" width="36" hidden="0" customWidth="1"/>
    <x:col min="14" max="14" width="47" hidden="0" customWidth="1"/>
    <x:col min="15" max="15" width="18" hidden="0" customWidth="1"/>
    <x:col min="16" max="16" width="44" hidden="0" customWidth="1"/>
    <x:col min="17" max="17" width="18" hidden="0" customWidth="1"/>
    <x:col min="18" max="18" width="44" hidden="0" customWidth="1"/>
  </x:cols>
  <x:sheetData>
    <x:row r="1">
      <x:c r="A1" s="2"/>
      <x:c r="B1" s="2"/>
      <x:c r="C1" s="2"/>
      <x:c r="D1" s="2"/>
      <x:c r="E1" s="2"/>
      <x:c r="F1" s="2"/>
      <x:c r="G1" s="2"/>
      <x:c r="H1" s="2"/>
      <x:c r="I1" s="2"/>
      <x:c r="J1" s="2"/>
      <x:c r="K1" s="2"/>
      <x:c r="L1" s="2"/>
      <x:c r="M1" s="2"/>
      <x:c r="N1" s="2"/>
      <x:c r="O1" s="2"/>
      <x:c r="P1" s="2"/>
      <x:c r="Q1" s="2"/>
      <x:c r="R1" s="2"/>
    </x:row>
    <x:row r="2" ht="30" customHeight="1">
      <x:c r="A2" s="3" t="str">
        <x:v>新500条随机样本筛选候选</x:v>
      </x:c>
      <x:c r="B2" s="2"/>
      <x:c r="C2" s="2"/>
      <x:c r="D2" s="2"/>
      <x:c r="E2" s="2"/>
      <x:c r="F2" s="2"/>
      <x:c r="G2" s="2"/>
      <x:c r="H2" s="2"/>
      <x:c r="I2" s="2"/>
      <x:c r="J2" s="2"/>
      <x:c r="K2" s="2"/>
      <x:c r="L2" s="2"/>
      <x:c r="M2" s="2"/>
      <x:c r="N2" s="2"/>
      <x:c r="O2" s="2"/>
      <x:c r="P2" s="2"/>
      <x:c r="Q2" s="2"/>
      <x:c r="R2" s="2"/>
    </x:row>
    <x:row r="3">
      <x:c r="A3" s="2" t="str">
        <x:v>来源：2026-10-22 Amazon合并快照；Action参照为冻结10037品名库。O:R人工输入为空。</x:v>
      </x:c>
      <x:c r="B3" s="2"/>
      <x:c r="C3" s="2"/>
      <x:c r="D3" s="2"/>
      <x:c r="E3" s="2"/>
      <x:c r="F3" s="2"/>
      <x:c r="G3" s="2"/>
      <x:c r="H3" s="2"/>
      <x:c r="I3" s="2"/>
      <x:c r="J3" s="2"/>
      <x:c r="K3" s="2"/>
      <x:c r="L3" s="2"/>
      <x:c r="M3" s="2"/>
      <x:c r="N3" s="2"/>
      <x:c r="O3" s="2"/>
      <x:c r="P3" s="2"/>
      <x:c r="Q3" s="2"/>
      <x:c r="R3" s="2"/>
    </x:row>
    <x:row r="4" ht="30" customHeight="1">
      <x:c r="A4" s="7" t="str">
        <x:v>编号</x:v>
      </x:c>
      <x:c r="B4" s="7" t="str">
        <x:v>西语原始品名</x:v>
      </x:c>
      <x:c r="C4" s="7" t="str">
        <x:v>商品主体候选</x:v>
      </x:c>
      <x:c r="D4" s="7" t="str">
        <x:v>用途候选</x:v>
      </x:c>
      <x:c r="E4" s="7" t="str">
        <x:v>筛选候选</x:v>
      </x:c>
      <x:c r="F4" s="7" t="str">
        <x:v>观察原因</x:v>
      </x:c>
      <x:c r="G4" s="7" t="str">
        <x:v>Action SKU</x:v>
      </x:c>
      <x:c r="H4" s="7" t="str">
        <x:v>Action原始品名</x:v>
      </x:c>
      <x:c r="I4" s="7" t="str">
        <x:v>参照关系</x:v>
      </x:c>
      <x:c r="J4" s="7" t="str">
        <x:v>判断说明</x:v>
      </x:c>
      <x:c r="K4" s="7" t="str">
        <x:v>未确认信息</x:v>
      </x:c>
      <x:c r="L4" s="7" t="str">
        <x:v>商品链接</x:v>
      </x:c>
      <x:c r="M4" s="7" t="str">
        <x:v>来源记录ID</x:v>
      </x:c>
      <x:c r="N4" s="7" t="str">
        <x:v>来源绑定Hash</x:v>
      </x:c>
      <x:c r="O4" s="7" t="str">
        <x:v>人工裁定</x:v>
      </x:c>
      <x:c r="P4" s="7" t="str">
        <x:v>人工原因</x:v>
      </x:c>
      <x:c r="Q4" s="7" t="str">
        <x:v>审核人</x:v>
      </x:c>
      <x:c r="R4" s="7" t="str">
        <x:v>证据引用</x:v>
      </x:c>
    </x:row>
    <x:row r="5" ht="90" customHeight="1">
      <x:c r="A5" s="4" t="str">
        <x:v>P001</x:v>
      </x:c>
      <x:c r="B5" s="4" t="str">
        <x:v>Espumador Leche Eléctrico Recargable, Milk Frother con Base de Carga Negra, 3 Velocidades Ajustables, 3 Varillas Acero Inoxidable, USB-C, para Café, Matcha y Más</x:v>
      </x:c>
      <x:c r="C5" s="4" t="str">
        <x:v>充电式奶泡器</x:v>
      </x:c>
      <x:c r="D5" s="4" t="str">
        <x:v>搅打奶泡</x:v>
      </x:c>
      <x:c r="E5" s="4" t="str">
        <x:v>观察</x:v>
      </x:c>
      <x:c r="F5" s="4" t="str">
        <x:v>经营边界未确认</x:v>
      </x:c>
      <x:c r="G5" s="4" t="str">
        <x:v>3011080</x:v>
      </x:c>
      <x:c r="H5" s="4" t="str">
        <x:v>Espumador de leche DAY</x:v>
      </x:c>
      <x:c r="I5" s="4" t="str">
        <x:v>same_type</x:v>
      </x:c>
      <x:c r="J5" s="4" t="str">
        <x:v>奶泡器主体有直接Action参照，充电及档位不改变小家电复核边界</x:v>
      </x:c>
      <x:c r="K5" s="4" t="str">
        <x:v>续航、转速与奶泡效果未验证</x:v>
      </x:c>
      <x:c r="L5" s="4" t="str">
        <x:v>https://www.amazon.es/Espumador-Recargable-Velocidades-Ajustables-Inoxidable/dp/B0H6PGBWFW?psc=1</x:v>
      </x:c>
      <x:c r="M5" s="4" t="str">
        <x:v>B0_84bacc4c6b66_007163</x:v>
      </x:c>
      <x:c r="N5" s="4" t="str">
        <x:v>df629842af78a4fcc44115499f05299cd36ae543d7acdfe3e8d4d59ae04cb189</x:v>
      </x:c>
      <x:c r="O5" s="8"/>
      <x:c r="P5" s="8"/>
      <x:c r="Q5" s="8"/>
      <x:c r="R5" s="8"/>
    </x:row>
    <x:row r="6" ht="90" customHeight="1">
      <x:c r="A6" s="4" t="str">
        <x:v>P002</x:v>
      </x:c>
      <x:c r="B6" s="4" t="str">
        <x:v>ZhaZhaPop 2 calcomanías para ventana de Halloween, decoración de silueta de | Estas calcomanías de PVC duraderas se adhieren de forma segura al vidrio, convirtiendo instantáneamente tu ventana en una</x:v>
      </x:c>
      <x:c r="C6" s="4" t="str">
        <x:v>万圣节窗贴</x:v>
      </x:c>
      <x:c r="D6" s="4" t="str">
        <x:v>节庆窗面装饰</x:v>
      </x:c>
      <x:c r="E6" s="4" t="str">
        <x:v>保留</x:v>
      </x:c>
      <x:c r="F6" s="4" t="str"/>
      <x:c r="G6" s="4" t="str">
        <x:v>3006466</x:v>
      </x:c>
      <x:c r="H6" s="4" t="str">
        <x:v>Pegatinas para ventanas de Halloween</x:v>
      </x:c>
      <x:c r="I6" s="4" t="str">
        <x:v>same_type</x:v>
      </x:c>
      <x:c r="J6" s="4" t="str">
        <x:v>窗贴主体明确；来源尾句截断不妨碍识别，不能补齐图案</x:v>
      </x:c>
      <x:c r="K6" s="4" t="str">
        <x:v>具体图案和耐久未知</x:v>
      </x:c>
      <x:c r="L6" s="4" t="str">
        <x:v>https://www.amazon.es/ZhaZhaPop-calcoman%C3%ADas-decoraci%C3%B3n-convirtiendo-instant%C3%A1neamente/dp/B0HF84XVVZ?psc=1</x:v>
      </x:c>
      <x:c r="M6" s="4" t="str">
        <x:v>B0_84bacc4c6b66_023011</x:v>
      </x:c>
      <x:c r="N6" s="4" t="str">
        <x:v>eebb998251ac89cd68d65921d99a96a828bb65d881d9c23b93de2e536c639515</x:v>
      </x:c>
      <x:c r="O6" s="8"/>
      <x:c r="P6" s="8"/>
      <x:c r="Q6" s="8"/>
      <x:c r="R6" s="8"/>
    </x:row>
    <x:row r="7" ht="90" customHeight="1">
      <x:c r="A7" s="4" t="str">
        <x:v>P003</x:v>
      </x:c>
      <x:c r="B7" s="4" t="str">
        <x:v>Lote de 8 Bandejas Organizadoras Joyas de Terciopelo Apilables,Beige | Bandejas de joyas,Organizador Joyas Cajon,para Almacenamiento Anillo,Collar,Pulsera,Adiós al Desorden</x:v>
      </x:c>
      <x:c r="C7" s="4" t="str">
        <x:v>首饰整理托盘</x:v>
      </x:c>
      <x:c r="D7" s="4" t="str">
        <x:v>分类收纳首饰</x:v>
      </x:c>
      <x:c r="E7" s="4" t="str">
        <x:v>保留</x:v>
      </x:c>
      <x:c r="F7" s="4" t="str"/>
      <x:c r="G7" s="4" t="str">
        <x:v>3210047</x:v>
      </x:c>
      <x:c r="H7" s="4" t="str">
        <x:v>Joyero</x:v>
      </x:c>
      <x:c r="I7" s="4" t="str">
        <x:v>related_type</x:v>
      </x:c>
      <x:c r="J7" s="4" t="str">
        <x:v>托盘与Action首饰盒同为首饰整理器具，不把珠宝本身当商品</x:v>
      </x:c>
      <x:c r="K7" s="4" t="str">
        <x:v>托盘格局、面料与容量未验证</x:v>
      </x:c>
      <x:c r="L7" s="4" t="str">
        <x:v>https://www.amazon.es/Bandejas-Organizadoras-Joyas-Terciopelo-Apilables/dp/B0FJKR3SDJ?psc=1</x:v>
      </x:c>
      <x:c r="M7" s="4" t="str">
        <x:v>B0_84bacc4c6b66_002530</x:v>
      </x:c>
      <x:c r="N7" s="4" t="str">
        <x:v>d324c22a42d72eebafe7ee8f2c5d4d8105ef1ae95cccf539ce957af0de631a65</x:v>
      </x:c>
      <x:c r="O7" s="8"/>
      <x:c r="P7" s="8"/>
      <x:c r="Q7" s="8"/>
      <x:c r="R7" s="8"/>
    </x:row>
    <x:row r="8" ht="90" customHeight="1">
      <x:c r="A8" s="4" t="str">
        <x:v>P004</x:v>
      </x:c>
      <x:c r="B8" s="4" t="str">
        <x:v>perfk Audio Libro de Visitas Teléfono de Boda Libro de Visitas de Audio Teléfono Grabadora de Mensajes de Voz Teléfono para Fiesta Cumpleaños Decoración de, Rojo</x:v>
      </x:c>
      <x:c r="C8" s="4" t="str">
        <x:v>电话造型语音留言器</x:v>
      </x:c>
      <x:c r="D8" s="4" t="str">
        <x:v>录制活动来宾留言</x:v>
      </x:c>
      <x:c r="E8" s="4" t="str">
        <x:v>观察</x:v>
      </x:c>
      <x:c r="F8" s="4" t="str">
        <x:v>经营边界未确认</x:v>
      </x:c>
      <x:c r="G8" s="4" t="str"/>
      <x:c r="H8" s="4" t="str"/>
      <x:c r="I8" s="4" t="str">
        <x:v>none</x:v>
      </x:c>
      <x:c r="J8" s="4" t="str">
        <x:v>标题的留言录音功能指向电子设备而非纸本留言簿；特殊活动电子用品边界待定</x:v>
      </x:c>
      <x:c r="K8" s="4" t="str">
        <x:v>录音存储、电源与供货结构未知</x:v>
      </x:c>
      <x:c r="L8" s="4" t="str">
        <x:v>https://www.amazon.es/perfk-Tel%C3%A9fono-Grabadora-Cumplea%C3%B1os-Decoraci%C3%B3n/dp/B0D96L394P?psc=1</x:v>
      </x:c>
      <x:c r="M8" s="4" t="str">
        <x:v>B0_84bacc4c6b66_024523</x:v>
      </x:c>
      <x:c r="N8" s="4" t="str">
        <x:v>ef8ea431b1e53ff5e781cddd8bcd36de1072b4ee7e85437161b358820fb1eda6</x:v>
      </x:c>
      <x:c r="O8" s="8"/>
      <x:c r="P8" s="8"/>
      <x:c r="Q8" s="8"/>
      <x:c r="R8" s="8"/>
    </x:row>
    <x:row r="9" ht="90" customHeight="1">
      <x:c r="A9" s="4" t="str">
        <x:v>P005</x:v>
      </x:c>
      <x:c r="B9" s="4" t="str">
        <x:v>SEVERIN Tostadora automática de ranura larga, tostador ancho con soporte para panecillos, tostadora doble para calentar y descongelar, 1400 W, acero inoxidable cepillado/negro, AT 2590</x:v>
      </x:c>
      <x:c r="C9" s="4" t="str">
        <x:v>长槽烤面包机</x:v>
      </x:c>
      <x:c r="D9" s="4" t="str">
        <x:v>烘烤和回温面包</x:v>
      </x:c>
      <x:c r="E9" s="4" t="str">
        <x:v>观察</x:v>
      </x:c>
      <x:c r="F9" s="4" t="str">
        <x:v>经营边界未确认</x:v>
      </x:c>
      <x:c r="G9" s="4" t="str">
        <x:v>3213305</x:v>
      </x:c>
      <x:c r="H9" s="4" t="str">
        <x:v>Tostadora Severin</x:v>
      </x:c>
      <x:c r="I9" s="4" t="str">
        <x:v>same_type</x:v>
      </x:c>
      <x:c r="J9" s="4" t="str">
        <x:v>明确烤面包整机并有同类参照；自动字样不等同复杂自动系统</x:v>
      </x:c>
      <x:c r="K9" s="4" t="str">
        <x:v>加热、尺寸和安全未知</x:v>
      </x:c>
      <x:c r="L9" s="4" t="str">
        <x:v>https://www.amazon.es/SEVERIN-Tostadora-panecillos-recogemigas-inoxidable/dp/B079HPJSL9/ref=sr_1_2342?dib=eyJ2IjoiMSJ9.jhVHf2xGFkZCqd3nIkKeTGhKvamFXibphMAw65Y1k-OyZUSN29tGFPYIR1Ihx0j5_gaCX9SOGhB11d9RQ70a2X2mCojlld7Db3oFGeKvt6LF5fsI20lYP1JQjjWsnXNUQ2hVcD1p0gDPw0840yd9nsFG0P9ObWDteng2QA06JwX6w3lfPArxWLbQscKvRJIsgk51AJULqfdYMyXlci2mB9HrwBYdQOOOzZbadXM1nnrPYOivYbQrEeh8br1AYmo4RUYJE8zD3vZCbPtQ_wLTeKcoEtoe12mX77DACvaKsZc.UF4AYheQjPnreUOAEnS_9sq-kMyWnppCuHqPFVSYHW0&amp;dib_tag=se&amp;qid=1792650792&amp;s=kitchen&amp;sr=1-2342&amp;srs=88626813031&amp;xpid=qpnO31ULD-dQ4</x:v>
      </x:c>
      <x:c r="M9" s="4" t="str">
        <x:v>B0_84bacc4c6b66_017762</x:v>
      </x:c>
      <x:c r="N9" s="4" t="str">
        <x:v>a4e61308eb00a8bce87654def8aec36a62753ff5a291f8085ffac7da26ac9718</x:v>
      </x:c>
      <x:c r="O9" s="8"/>
      <x:c r="P9" s="8"/>
      <x:c r="Q9" s="8"/>
      <x:c r="R9" s="8"/>
    </x:row>
    <x:row r="10" ht="90" customHeight="1">
      <x:c r="A10" s="4" t="str">
        <x:v>P006</x:v>
      </x:c>
      <x:c r="B10" s="4" t="str">
        <x:v>SENENQU 3 Piezas Papelera Oficina de Metal Negra, Set Rejilla 12L | Pack de 3 Papelera Escritorio para Oficina, Altura 26,5 cm, Boca 23,5 cm, 12 L cada una, Dormitorio y Baño</x:v>
      </x:c>
      <x:c r="C10" s="4" t="str">
        <x:v>办公垃圾桶套装</x:v>
      </x:c>
      <x:c r="D10" s="4" t="str">
        <x:v>收集室内垃圾</x:v>
      </x:c>
      <x:c r="E10" s="4" t="str">
        <x:v>保留</x:v>
      </x:c>
      <x:c r="F10" s="4" t="str"/>
      <x:c r="G10" s="4" t="str">
        <x:v>2531824</x:v>
      </x:c>
      <x:c r="H10" s="4" t="str">
        <x:v>Papelera</x:v>
      </x:c>
      <x:c r="I10" s="4" t="str">
        <x:v>same_type</x:v>
      </x:c>
      <x:c r="J10" s="4" t="str">
        <x:v>垃圾桶是主体，网格为构造描述；有Action垃圾桶同类</x:v>
      </x:c>
      <x:c r="K10" s="4" t="str">
        <x:v>实际容量及表面处理未知</x:v>
      </x:c>
      <x:c r="L10" s="4" t="str">
        <x:v>https://www.amazon.es/SENENQU-Papelera-Rejilla-Escritorio-Dormitorio/dp/B099FBQWYS?psc=1</x:v>
      </x:c>
      <x:c r="M10" s="4" t="str">
        <x:v>B0_84bacc4c6b66_017743</x:v>
      </x:c>
      <x:c r="N10" s="4" t="str">
        <x:v>ba854a326cb1fc3dea90ac596ddc7ca5b99d62a17c2cb5ece5b4fe6fa16152d2</x:v>
      </x:c>
      <x:c r="O10" s="8"/>
      <x:c r="P10" s="8"/>
      <x:c r="Q10" s="8"/>
      <x:c r="R10" s="8"/>
    </x:row>
    <x:row r="11" ht="90" customHeight="1">
      <x:c r="A11" s="4" t="str">
        <x:v>P007</x:v>
      </x:c>
      <x:c r="B11" s="4" t="str">
        <x:v>SCBOY 5 x 270 cm 12 rollos de vendaje de yeso De secado rápido y respetuoso con la piel Para moldes de yeso moldeados a mano diversas impresiones creación de modelos</x:v>
      </x:c>
      <x:c r="C11" s="4" t="str">
        <x:v>石膏造型绷带</x:v>
      </x:c>
      <x:c r="D11" s="4" t="str">
        <x:v>制作印模和模型</x:v>
      </x:c>
      <x:c r="E11" s="4" t="str">
        <x:v>保留</x:v>
      </x:c>
      <x:c r="F11" s="4" t="str"/>
      <x:c r="G11" s="4" t="str">
        <x:v>3003123</x:v>
      </x:c>
      <x:c r="H11" s="4" t="str">
        <x:v>Moldes de escayola SES</x:v>
      </x:c>
      <x:c r="I11" s="4" t="str">
        <x:v>related_type</x:v>
      </x:c>
      <x:c r="J11" s="4" t="str">
        <x:v>来源用于造型，和Action石膏模具共享成型手工用途，不能视作医疗绷带已合规</x:v>
      </x:c>
      <x:c r="K11" s="4" t="str">
        <x:v>皮肤接触及凝固性能未验证</x:v>
      </x:c>
      <x:c r="L11" s="4" t="str">
        <x:v>https://www.amazon.es/SCBOY-respetuoso-moldeados-diversas-impresiones/dp/B0GG3HNGHP?psc=1</x:v>
      </x:c>
      <x:c r="M11" s="4" t="str">
        <x:v>B0_84bacc4c6b66_017704</x:v>
      </x:c>
      <x:c r="N11" s="4" t="str">
        <x:v>1473a212ee1c306ca6828d5ff0beff62db6d1f27f3802b0d84546d94a68ca711</x:v>
      </x:c>
      <x:c r="O11" s="8"/>
      <x:c r="P11" s="8"/>
      <x:c r="Q11" s="8"/>
      <x:c r="R11" s="8"/>
    </x:row>
    <x:row r="12" ht="90" customHeight="1">
      <x:c r="A12" s="4" t="str">
        <x:v>P008</x:v>
      </x:c>
      <x:c r="B12" s="4" t="str">
        <x:v>Dreamfarm DFGR1181 Marco Noir - Bote para Tirar los posos del café</x:v>
      </x:c>
      <x:c r="C12" s="4" t="str">
        <x:v>咖啡渣桶</x:v>
      </x:c>
      <x:c r="D12" s="4" t="str">
        <x:v>收集咖啡渣</x:v>
      </x:c>
      <x:c r="E12" s="4" t="str">
        <x:v>保留</x:v>
      </x:c>
      <x:c r="F12" s="4" t="str"/>
      <x:c r="G12" s="4" t="str">
        <x:v>2531824</x:v>
      </x:c>
      <x:c r="H12" s="4" t="str">
        <x:v>Papelera</x:v>
      </x:c>
      <x:c r="I12" s="4" t="str">
        <x:v>related_type</x:v>
      </x:c>
      <x:c r="J12" s="4" t="str">
        <x:v>主体是收集咖啡渣的桶，与垃圾桶为相关收集容器；Marco不是相框主体</x:v>
      </x:c>
      <x:c r="K12" s="4" t="str">
        <x:v>敲渣结构与容量未知</x:v>
      </x:c>
      <x:c r="L12" s="4" t="str">
        <x:v>https://www.amazon.es/Dreamfarm-DFGR1181-Marco-Noir-tirar/dp/B0016J7YQM/ref=sr_1_2763?dib=eyJ2IjoiMSJ9.0QaHB7qmAx4Kgc6j4mwkuvyVIovIMWaNr9o6edcSBxQpvaTlOQvYkaohDeos4iGv5wyd2dp3CRzI6s15AWt6Bhp3B3EYXB2A4yGeNcVa1Qmy8xL7SLH9906Zxo_8PHt3f6Um4-qLMHGcXuCehzY2sz3xBq0besO77GKpxJj03x6lGvRIXWmsbDnkH_njYZokytEkMbd1EqpW-aDRDWwZRLHWUnGKB-U4qlxd32-jb-IFgm0CqjWAcXxJFfhx1oeIoA54PJ8gJ6OqzPXunyZ_7faQgHLyQvS1fW5P4i7vJzw.CqokhTBnm2BOAPWj9NWjzrqoG6fClAuKseMGt8VJaBU&amp;dib_tag=se&amp;qid=1792651228&amp;s=kitchen&amp;sr=1-2763&amp;srs=88626813031&amp;xpid=qpnO31ULD-dQ4</x:v>
      </x:c>
      <x:c r="M12" s="4" t="str">
        <x:v>B0_84bacc4c6b66_006406</x:v>
      </x:c>
      <x:c r="N12" s="4" t="str">
        <x:v>64565ef5b8c1ac8f1f2cb5ecd6d0c936a177d086732f12257485fefca91d43c7</x:v>
      </x:c>
      <x:c r="O12" s="8"/>
      <x:c r="P12" s="8"/>
      <x:c r="Q12" s="8"/>
      <x:c r="R12" s="8"/>
    </x:row>
    <x:row r="13" ht="90" customHeight="1">
      <x:c r="A13" s="4" t="str">
        <x:v>P009</x:v>
      </x:c>
      <x:c r="B13" s="4" t="str">
        <x:v>SONGMICS Zapatero de 3 Niveles, de Metal, para 12 a 15 Pares</x:v>
      </x:c>
      <x:c r="C13" s="4" t="str">
        <x:v>三层鞋架</x:v>
      </x:c>
      <x:c r="D13" s="4" t="str">
        <x:v>存放鞋子</x:v>
      </x:c>
      <x:c r="E13" s="4" t="str">
        <x:v>观察</x:v>
      </x:c>
      <x:c r="F13" s="4" t="str">
        <x:v>经营边界未确认</x:v>
      </x:c>
      <x:c r="G13" s="4" t="str">
        <x:v>3203925</x:v>
      </x:c>
      <x:c r="H13" s="4" t="str">
        <x:v>Zapatero Tomado Superior</x:v>
      </x:c>
      <x:c r="I13" s="4" t="str">
        <x:v>same_type</x:v>
      </x:c>
      <x:c r="J13" s="4" t="str">
        <x:v>完整鞋架有同类参照，按完整家具范围先研究</x:v>
      </x:c>
      <x:c r="K13" s="4" t="str">
        <x:v>容量及承重未验证</x:v>
      </x:c>
      <x:c r="L13" s="4" t="str">
        <x:v>https://www.amazon.es/SONGMICS-Estanter%C3%ADa-Multiusos-Zapatero-Niveles/dp/B07DKX4GKB/ref=sr_1_699?dib=eyJ2IjoiMSJ9.G9RuDvGHWamxvd64PJKbKPUZWHQOdNF1c1dFQNC87EQBvnCe40Ojl3-TTmyCg-2boOfSxp5veJdPgOawcRzbPCytSFoEiK_tvstySC2IXH3Sl8D8TGANS74jfilOWv2Tdxjlfif9T4hHvgzc_sLwEItV_lYPndv6JfoNCV1vHbTi4x4JxRHUezhfnyEk3mWnxIa_oRju4vLlU0ZyLFQ39rdbFopWfhbqsbRLV5oBEqELiFTWDoJQM2Wnzhr_pZSuiwGliNZszaYurtyRTfWas-LOLJUDNrUXIlDKP9MYb1U.wQUjglgHzNg3xlyx9zItZuP4AwYnedNXuuz33Uy06-U&amp;dib_tag=se&amp;qid=1792597220&amp;s=kitchen&amp;sr=1-699&amp;srs=88626813031&amp;xpid=CeuYXw3Vdr0Bg</x:v>
      </x:c>
      <x:c r="M13" s="4" t="str">
        <x:v>B0_84bacc4c6b66_017978</x:v>
      </x:c>
      <x:c r="N13" s="4" t="str">
        <x:v>7d95fe61e1c38df87f82f8b0160f0d08bd9901e1aad3f5ce063a4b07437736e8</x:v>
      </x:c>
      <x:c r="O13" s="8"/>
      <x:c r="P13" s="8"/>
      <x:c r="Q13" s="8"/>
      <x:c r="R13" s="8"/>
    </x:row>
    <x:row r="14" ht="90" customHeight="1">
      <x:c r="A14" s="4" t="str">
        <x:v>P010</x:v>
      </x:c>
      <x:c r="B14" s="4" t="str">
        <x:v>Juego de 3 servilleteros Animal de Bosque: Vaca, Gallo y Cerdo de Madera Tallada y Pintada a Mano, Aprox. 9 x 7 x 2 cm</x:v>
      </x:c>
      <x:c r="C14" s="4" t="str">
        <x:v>动物造型餐巾架</x:v>
      </x:c>
      <x:c r="D14" s="4" t="str">
        <x:v>整理餐巾和餐桌装饰</x:v>
      </x:c>
      <x:c r="E14" s="4" t="str">
        <x:v>保留</x:v>
      </x:c>
      <x:c r="F14" s="4" t="str"/>
      <x:c r="G14" s="4" t="str">
        <x:v>3206897</x:v>
      </x:c>
      <x:c r="H14" s="4" t="str">
        <x:v>Servilletero con servilletas</x:v>
      </x:c>
      <x:c r="I14" s="4" t="str">
        <x:v>same_type</x:v>
      </x:c>
      <x:c r="J14" s="4" t="str">
        <x:v>餐巾架与Action同类；动物是图案不是动物玩具</x:v>
      </x:c>
      <x:c r="K14" s="4" t="str">
        <x:v>具体开口形式与材质工艺未知</x:v>
      </x:c>
      <x:c r="L14" s="4" t="str">
        <x:v>https://www.amazon.es/your-castle-servilleteros-Animal-Bosque/dp/B09MR53QTP?psc=1</x:v>
      </x:c>
      <x:c r="M14" s="4" t="str">
        <x:v>B0_84bacc4c6b66_025145</x:v>
      </x:c>
      <x:c r="N14" s="4" t="str">
        <x:v>bfffdb1a9b94dafdbab5c18964f089b8f3bcf4540a7fe85f5107860e64b1110e</x:v>
      </x:c>
      <x:c r="O14" s="8"/>
      <x:c r="P14" s="8"/>
      <x:c r="Q14" s="8"/>
      <x:c r="R14" s="8"/>
    </x:row>
    <x:row r="15" ht="90" customHeight="1">
      <x:c r="A15" s="4" t="str">
        <x:v>P011</x:v>
      </x:c>
      <x:c r="B15" s="4" t="str">
        <x:v>Philips Smart Lighting Smart Dimmer Switch | Mando a Distancia, Fácil de Usar, Elegante, Funciona a Pilas, Botones Personalizables, Funciona sin Wi-Fi, Connected by WiZ</x:v>
      </x:c>
      <x:c r="C15" s="4" t="str">
        <x:v>智能灯光调光遥控器</x:v>
      </x:c>
      <x:c r="D15" s="4" t="str">
        <x:v>控制兼容灯具</x:v>
      </x:c>
      <x:c r="E15" s="4" t="str">
        <x:v>观察</x:v>
      </x:c>
      <x:c r="F15" s="4" t="str">
        <x:v>专用或安装配件</x:v>
      </x:c>
      <x:c r="G15" s="4" t="str"/>
      <x:c r="H15" s="4" t="str"/>
      <x:c r="I15" s="4" t="str">
        <x:v>none</x:v>
      </x:c>
      <x:c r="J15" s="4" t="str">
        <x:v>明确灯光遥控器及WiZ连接生态，电池不是销售主体</x:v>
      </x:c>
      <x:c r="K15" s="4" t="str">
        <x:v>兼容协议及是否独立可用未知</x:v>
      </x:c>
      <x:c r="L15" s="4" t="str">
        <x:v>https://www.amazon.es/Philips-Lighting-Distancia-Personalizables-Connected/dp/B0HGB4DZDS?psc=1</x:v>
      </x:c>
      <x:c r="M15" s="4" t="str">
        <x:v>B0_84bacc4c6b66_015669</x:v>
      </x:c>
      <x:c r="N15" s="4" t="str">
        <x:v>bb9e54934dafb1ee19c9b27ada7f4343a72170f8c5d5652b90087ff279e470e4</x:v>
      </x:c>
      <x:c r="O15" s="8"/>
      <x:c r="P15" s="8"/>
      <x:c r="Q15" s="8"/>
      <x:c r="R15" s="8"/>
    </x:row>
    <x:row r="16" ht="90" customHeight="1">
      <x:c r="A16" s="4" t="str">
        <x:v>P012</x:v>
      </x:c>
      <x:c r="B16" s="4" t="str">
        <x:v>Taurus - Cafetera de Goteo 600W, 600 ml, Jarra Cristal, Filtro Permanente | Mantiene el café caliente durante 40min</x:v>
      </x:c>
      <x:c r="C16" s="4" t="str">
        <x:v>滴滤咖啡机</x:v>
      </x:c>
      <x:c r="D16" s="4" t="str">
        <x:v>冲煮咖啡</x:v>
      </x:c>
      <x:c r="E16" s="4" t="str">
        <x:v>观察</x:v>
      </x:c>
      <x:c r="F16" s="4" t="str">
        <x:v>经营边界未确认</x:v>
      </x:c>
      <x:c r="G16" s="4" t="str">
        <x:v>3201736</x:v>
      </x:c>
      <x:c r="H16" s="4" t="str">
        <x:v>Cafetera Tomado Superior</x:v>
      </x:c>
      <x:c r="I16" s="4" t="str">
        <x:v>related_type</x:v>
      </x:c>
      <x:c r="J16" s="4" t="str">
        <x:v>咖啡机是主体，玻璃壶及滤器是配套；Action咖啡机未证明滴滤结构</x:v>
      </x:c>
      <x:c r="K16" s="4" t="str">
        <x:v>容量和保温性能未知</x:v>
      </x:c>
      <x:c r="L16" s="4" t="str">
        <x:v>https://www.amazon.es/Taurus-Cafetera-Calefactora-Permanente-Antigoteo/dp/B0DQ84K1NY?psc=1</x:v>
      </x:c>
      <x:c r="M16" s="4" t="str">
        <x:v>B0_84bacc4c6b66_019710</x:v>
      </x:c>
      <x:c r="N16" s="4" t="str">
        <x:v>699c78447feb06d18f66f6a12f65149c00a49f77b979222121c4403ff9506163</x:v>
      </x:c>
      <x:c r="O16" s="8"/>
      <x:c r="P16" s="8"/>
      <x:c r="Q16" s="8"/>
      <x:c r="R16" s="8"/>
    </x:row>
    <x:row r="17" ht="90" customHeight="1">
      <x:c r="A17" s="4" t="str">
        <x:v>P013</x:v>
      </x:c>
      <x:c r="B17" s="4" t="str">
        <x:v>CARIOCA - Oops Easy, Blíster 3 Bolígrafos Borrables Degradados | Blíster con 3 Bolígrafos Borrables Rojos y Azules, Tinta Termosensible de Borrado Limpio, Diseño Degradado de 0.7 mm</x:v>
      </x:c>
      <x:c r="C17" s="4" t="str">
        <x:v>可擦圆珠笔</x:v>
      </x:c>
      <x:c r="D17" s="4" t="str">
        <x:v>书写和擦改</x:v>
      </x:c>
      <x:c r="E17" s="4" t="str">
        <x:v>保留</x:v>
      </x:c>
      <x:c r="F17" s="4" t="str"/>
      <x:c r="G17" s="4" t="str">
        <x:v>3207643</x:v>
      </x:c>
      <x:c r="H17" s="4" t="str">
        <x:v>Bolígrafos borrables</x:v>
      </x:c>
      <x:c r="I17" s="4" t="str">
        <x:v>same_type</x:v>
      </x:c>
      <x:c r="J17" s="4" t="str">
        <x:v>可擦笔类型与Action直接对应；渐变为外观</x:v>
      </x:c>
      <x:c r="K17" s="4" t="str">
        <x:v>擦除和墨水性能未验证</x:v>
      </x:c>
      <x:c r="L17" s="4" t="str">
        <x:v>https://www.amazon.es/Bol%C3%ADgrafos-borrables-Borrables-Termosensible-degradados/dp/B0DJ34916K?psc=1</x:v>
      </x:c>
      <x:c r="M17" s="4" t="str">
        <x:v>B0_84bacc4c6b66_003048</x:v>
      </x:c>
      <x:c r="N17" s="4" t="str">
        <x:v>1f16bd5185af134664ac94b0bba9c0b7cbab40f7eb2ec3587c72e4ad4d85eba1</x:v>
      </x:c>
      <x:c r="O17" s="8"/>
      <x:c r="P17" s="8"/>
      <x:c r="Q17" s="8"/>
      <x:c r="R17" s="8"/>
    </x:row>
    <x:row r="18" ht="90" customHeight="1">
      <x:c r="A18" s="4" t="str">
        <x:v>P014</x:v>
      </x:c>
      <x:c r="B18" s="4" t="str">
        <x:v>YASHE Cocedor de Huevos, Cocedor Huevos de 360 W, 7 huevos fáciles de pelar, huevos blandos, medianos, duros, pochados, fabricante de tortillas, vaporera, zumbador, luz indicadora, libre de BPA</x:v>
      </x:c>
      <x:c r="C18" s="4" t="str">
        <x:v>电煮蛋器</x:v>
      </x:c>
      <x:c r="D18" s="4" t="str">
        <x:v>蒸煮鸡蛋</x:v>
      </x:c>
      <x:c r="E18" s="4" t="str">
        <x:v>观察</x:v>
      </x:c>
      <x:c r="F18" s="4" t="str">
        <x:v>经营边界未确认</x:v>
      </x:c>
      <x:c r="G18" s="4" t="str"/>
      <x:c r="H18" s="4" t="str"/>
      <x:c r="I18" s="4" t="str">
        <x:v>none</x:v>
      </x:c>
      <x:c r="J18" s="4" t="str">
        <x:v>额定功率与提示装置说明煮蛋机器，不能用玩具蛋或巧克力蛋作参照</x:v>
      </x:c>
      <x:c r="K18" s="4" t="str">
        <x:v>食品接触、供货和烹饪效果未知</x:v>
      </x:c>
      <x:c r="L18" s="4" t="str">
        <x:v>https://www.amazon.es/YASHE-medianos-fabricante-tortillas-indicadora/dp/B0CNCRMJ3D/ref=sr_1_1006?dib=eyJ2IjoiMSJ9.aPAv336_LiKSAj6bLwkYCEFSzhn2Bht2Jrzm9cO6TCED0VZ2cir28MAHzrFkYaXAaxLIenTn4rjcvEiz4omp15kY3erVW-CXnPMfFjQiI4NLOCuCTnZftoPSDiBxHFij8kZjhM6o76BoVvCmiy4W6QdfpD77q3So3rOdbiV0Q8tg68VZuh4K2_-g1FfPWfpDjIbw6h2IqYje998gKmQrWNhZGXpQcGxBNE8y6xZrclU_DaNhuEwASS8bOzZelnzU65WS6RHvcO3SiXkBeDdeHJVmdRQ3wx-Xsz8BO2wwn-g.25UAFgaum8_8Ml4XRu9mxxbIwDmRW_miJPNhF_VAgsI&amp;dib_tag=se&amp;qid=1792649662&amp;s=kitchen&amp;sr=1-1006&amp;srs=88626813031&amp;xpid=qpnO31ULD-dQ4</x:v>
      </x:c>
      <x:c r="M18" s="4" t="str">
        <x:v>B0_84bacc4c6b66_022399</x:v>
      </x:c>
      <x:c r="N18" s="4" t="str">
        <x:v>8263853c34b9b7ac7f13775e51e841f1dbc5d58bb57454863aad14f80147c04c</x:v>
      </x:c>
      <x:c r="O18" s="8"/>
      <x:c r="P18" s="8"/>
      <x:c r="Q18" s="8"/>
      <x:c r="R18" s="8"/>
    </x:row>
    <x:row r="19" ht="90" customHeight="1">
      <x:c r="A19" s="4" t="str">
        <x:v>P015</x:v>
      </x:c>
      <x:c r="B19" s="4" t="str">
        <x:v>Torno Alfarero,Mini Cerámica Torno Eléctrica,2000 RPM de Velocidad Ajustable,Torno de Alfarero con Placas de 10/6,5 cm,Kit Ceramica Cubeta Extraíble y Herramientas para Bricolaje(Rosa)</x:v>
      </x:c>
      <x:c r="C19" s="4" t="str">
        <x:v>小型电动陶艺拉坯机</x:v>
      </x:c>
      <x:c r="D19" s="4" t="str">
        <x:v>制作陶艺</x:v>
      </x:c>
      <x:c r="E19" s="4" t="str">
        <x:v>观察</x:v>
      </x:c>
      <x:c r="F19" s="4" t="str">
        <x:v>经营边界未确认</x:v>
      </x:c>
      <x:c r="G19" s="4" t="str"/>
      <x:c r="H19" s="4" t="str"/>
      <x:c r="I19" s="4" t="str">
        <x:v>none</x:v>
      </x:c>
      <x:c r="J19" s="4" t="str">
        <x:v>Torno配陶艺转盘语境指拉坯机，不是工业金属车床；尺寸和DIY语境不足以证明工业整机</x:v>
      </x:c>
      <x:c r="K19" s="4" t="str">
        <x:v>动力性能与工具范围待核</x:v>
      </x:c>
      <x:c r="L19" s="4" t="str">
        <x:v>https://www.amazon.es/El%C3%A9ctrica-Velocidad-Ajustable-Extra%C3%ADble-Herramientas/dp/B0H7H7SHZ5?psc=1</x:v>
      </x:c>
      <x:c r="M19" s="4" t="str">
        <x:v>B0_84bacc4c6b66_006783</x:v>
      </x:c>
      <x:c r="N19" s="4" t="str">
        <x:v>f27964f988927c85ea447eb36ca526b1b474e4c3fb70e441ee436547a6569cd5</x:v>
      </x:c>
      <x:c r="O19" s="8"/>
      <x:c r="P19" s="8"/>
      <x:c r="Q19" s="8"/>
      <x:c r="R19" s="8"/>
    </x:row>
    <x:row r="20" ht="90" customHeight="1">
      <x:c r="A20" s="4" t="str">
        <x:v>P016</x:v>
      </x:c>
      <x:c r="B20" s="4" t="str">
        <x:v>BLESWIN Alfombrilla de baño de Microfibra Suave con Forma de U, 50 x 50 cm | Alfombra de baño lavable a máquina, alfombra superabsorbente para el baño y el aseo</x:v>
      </x:c>
      <x:c r="C20" s="4" t="str">
        <x:v>U形浴室地垫</x:v>
      </x:c>
      <x:c r="D20" s="4" t="str">
        <x:v>浴室地面铺设</x:v>
      </x:c>
      <x:c r="E20" s="4" t="str">
        <x:v>保留</x:v>
      </x:c>
      <x:c r="F20" s="4" t="str"/>
      <x:c r="G20" s="4" t="str">
        <x:v>3220298</x:v>
      </x:c>
      <x:c r="H20" s="4" t="str">
        <x:v>Alfombrilla de baño</x:v>
      </x:c>
      <x:c r="I20" s="4" t="str">
        <x:v>same_type</x:v>
      </x:c>
      <x:c r="J20" s="4" t="str">
        <x:v>地垫主体有同类参照；洗衣机只是清洗方式声称</x:v>
      </x:c>
      <x:c r="K20" s="4" t="str">
        <x:v>吸水防滑及可洗性能未知</x:v>
      </x:c>
      <x:c r="L20" s="4" t="str">
        <x:v>https://www.amazon.es/BLESWIN-Alfombrilla-Microfibra-Alfombra-superabsorbente/dp/B0HD5XVJL8?psc=1</x:v>
      </x:c>
      <x:c r="M20" s="4" t="str">
        <x:v>B0_84bacc4c6b66_002246</x:v>
      </x:c>
      <x:c r="N20" s="4" t="str">
        <x:v>e766c0f4871d43d7f723a265828d917d0b30676ade750fe3e565e7a7dfff6202</x:v>
      </x:c>
      <x:c r="O20" s="8"/>
      <x:c r="P20" s="8"/>
      <x:c r="Q20" s="8"/>
      <x:c r="R20" s="8"/>
    </x:row>
    <x:row r="21" ht="90" customHeight="1">
      <x:c r="A21" s="4" t="str">
        <x:v>P017</x:v>
      </x:c>
      <x:c r="B21" s="4" t="str">
        <x:v>Normcore Herramienta de distribución de gravedad de 58,5 mm, distribuidor de espresso adaptativo por gravedad, herramienta niveladora de café espresso para portafiltro sin fondo de 58 mm, base de 5</x:v>
      </x:c>
      <x:c r="C21" s="4" t="str">
        <x:v>咖啡粉布粉器</x:v>
      </x:c>
      <x:c r="D21" s="4" t="str">
        <x:v>整理咖啡滤杯内粉层</x:v>
      </x:c>
      <x:c r="E21" s="4" t="str">
        <x:v>观察</x:v>
      </x:c>
      <x:c r="F21" s="4" t="str">
        <x:v>专用或安装配件</x:v>
      </x:c>
      <x:c r="G21" s="4" t="str"/>
      <x:c r="H21" s="4" t="str"/>
      <x:c r="I21" s="4" t="str">
        <x:v>none</x:v>
      </x:c>
      <x:c r="J21" s="4" t="str">
        <x:v>布粉器需与特定口径滤杯配合，不是咖啡机或咖啡杯</x:v>
      </x:c>
      <x:c r="K21" s="4" t="str">
        <x:v>口径适配及分布效果未知</x:v>
      </x:c>
      <x:c r="L21" s="4" t="str">
        <x:v>https://www.amazon.es/Normcore-Herramienta-distribuci%C3%B3n-distribuidor-herramienta/dp/B0CQ98WQJP/ref=sr_1_4240?dib=eyJ2IjoiMSJ9.OiOqWgVNv3xP35HeTWf7p0yyMD_Te1FVtUc6S6UCf3_6G8A_GY4GPht8Nmd4mPxonZBE_YHB4ri2AGpOaNHFldSxPfFMmVr-3QcsOqTSvwveuBFbIKS3EkDO9Brwlw7Tp8lficJjZJ2l7hdv9f2qN91H00RjtKXJO4selds-nqsYWWMoU4fwm_2FvFEJl4RTvUQIrmqmEcQYuPHJIwoTWhzLm0z8Lfi_zF_2OzrnCCUGJI9IRl9lFdqKAle5D5zzDJMlw7zIp9r6ScoyjZzNhaqWyy-MxPDo9ZKVN2C3NlY.7OJ4tmU44P44J2VSKiidCccdLy_Xg1mK3mYoUIKH43Q&amp;dib_tag=se&amp;qid=1792600883&amp;s=kitchen&amp;sr=1-4240&amp;srs=88626813031&amp;xpid=CeuYXw3Vdr0Bg</x:v>
      </x:c>
      <x:c r="M21" s="4" t="str">
        <x:v>B0_84bacc4c6b66_014358</x:v>
      </x:c>
      <x:c r="N21" s="4" t="str">
        <x:v>fceafc8283f77d16fe16849bb65a478eb37b70ec9e06cc2e077b6ad7a7164d87</x:v>
      </x:c>
      <x:c r="O21" s="8"/>
      <x:c r="P21" s="8"/>
      <x:c r="Q21" s="8"/>
      <x:c r="R21" s="8"/>
    </x:row>
    <x:row r="22" ht="90" customHeight="1">
      <x:c r="A22" s="4" t="str">
        <x:v>P018</x:v>
      </x:c>
      <x:c r="B22" s="4" t="str">
        <x:v>Humidificador para dormitorio, 300 ml, difusor de aroma, gotas de lluvia, humidificador, 7 colores, LED, difusor de aceite para oficina, dormitorio, coche, escritorio</x:v>
      </x:c>
      <x:c r="C22" s="4" t="str">
        <x:v>兼具香薰用途的加湿器</x:v>
      </x:c>
      <x:c r="D22" s="4" t="str">
        <x:v>室内加湿与香氛</x:v>
      </x:c>
      <x:c r="E22" s="4" t="str">
        <x:v>观察</x:v>
      </x:c>
      <x:c r="F22" s="4" t="str">
        <x:v>经营边界未确认</x:v>
      </x:c>
      <x:c r="G22" s="4" t="str">
        <x:v>3224018</x:v>
      </x:c>
      <x:c r="H22" s="4" t="str">
        <x:v>Difusor de aromas</x:v>
      </x:c>
      <x:c r="I22" s="4" t="str">
        <x:v>related_type</x:v>
      </x:c>
      <x:c r="J22" s="4" t="str">
        <x:v>机器主体明确，Action香薰器仅支持相关用途，不证明加湿量相同</x:v>
      </x:c>
      <x:c r="K22" s="4" t="str">
        <x:v>雾化、电源和健康效果未知</x:v>
      </x:c>
      <x:c r="L22" s="4" t="str">
        <x:v>https://www.amazon.es/Humidificador-dormitorio-difusor-humidificador-escritorio/dp/B0GD675FFP?psc=1</x:v>
      </x:c>
      <x:c r="M22" s="4" t="str">
        <x:v>B0_84bacc4c6b66_009917</x:v>
      </x:c>
      <x:c r="N22" s="4" t="str">
        <x:v>badd8369c7885cf0a75b631c9a142397c00d880e417e1b0f7dccb3b968a1a417</x:v>
      </x:c>
      <x:c r="O22" s="8"/>
      <x:c r="P22" s="8"/>
      <x:c r="Q22" s="8"/>
      <x:c r="R22" s="8"/>
    </x:row>
    <x:row r="23" ht="90" customHeight="1">
      <x:c r="A23" s="4" t="str">
        <x:v>P019</x:v>
      </x:c>
      <x:c r="B23" s="4" t="str">
        <x:v>Genérico Puerta del Ratoncito Pérez de Madera con Accesorios, Artesanal | Pintada a mano del color que elijas, Puerta con bisagras e imagen de fondo</x:v>
      </x:c>
      <x:c r="C23" s="4" t="str">
        <x:v>牙仙主题装饰小门</x:v>
      </x:c>
      <x:c r="D23" s="4" t="str">
        <x:v>童话场景装饰</x:v>
      </x:c>
      <x:c r="E23" s="4" t="str">
        <x:v>观察</x:v>
      </x:c>
      <x:c r="F23" s="4" t="str">
        <x:v>缺少有效Action参照</x:v>
      </x:c>
      <x:c r="G23" s="4" t="str"/>
      <x:c r="H23" s="4" t="str"/>
      <x:c r="I23" s="4" t="str">
        <x:v>none</x:v>
      </x:c>
      <x:c r="J23" s="4" t="str">
        <x:v>童话角色及配件语境指装饰小门，不是建筑入户门；不猜整体尺寸</x:v>
      </x:c>
      <x:c r="K23" s="4" t="str">
        <x:v>尺寸和配件清单未知</x:v>
      </x:c>
      <x:c r="L23" s="4" t="str">
        <x:v>https://www.amazon.es/Gen%C3%A9rico-Puerta-Ratoncito-Accesorios-Artesanal/dp/B0HGCZY615?psc=1</x:v>
      </x:c>
      <x:c r="M23" s="4" t="str">
        <x:v>B0_84bacc4c6b66_008506</x:v>
      </x:c>
      <x:c r="N23" s="4" t="str">
        <x:v>61314aab2f2d724dd85ec254e3e15eaeeaba701e62b9ebe93cc8846cde0bdfe1</x:v>
      </x:c>
      <x:c r="O23" s="8"/>
      <x:c r="P23" s="8"/>
      <x:c r="Q23" s="8"/>
      <x:c r="R23" s="8"/>
    </x:row>
    <x:row r="24" ht="90" customHeight="1">
      <x:c r="A24" s="4" t="str">
        <x:v>P020</x:v>
      </x:c>
      <x:c r="B24" s="4" t="str">
        <x:v>Vinsetto Caballete de Pintura Plegable 235 cm Estante Inferior Natural | Caballete de Madera, Altura y Ángulo Ajustable, para Adultos Artistas Pintor Estudiantes</x:v>
      </x:c>
      <x:c r="C24" s="4" t="str">
        <x:v>可调绘画画架</x:v>
      </x:c>
      <x:c r="D24" s="4" t="str">
        <x:v>支撑画布作画</x:v>
      </x:c>
      <x:c r="E24" s="4" t="str">
        <x:v>观察</x:v>
      </x:c>
      <x:c r="F24" s="4" t="str">
        <x:v>经营边界未确认</x:v>
      </x:c>
      <x:c r="G24" s="4" t="str">
        <x:v>3216480</x:v>
      </x:c>
      <x:c r="H24" s="4" t="str">
        <x:v>Caballete de madera Mini Matters</x:v>
      </x:c>
      <x:c r="I24" s="4" t="str">
        <x:v>related_type</x:v>
      </x:c>
      <x:c r="J24" s="4" t="str">
        <x:v>成人可调画架明确；Action木画架名称未证明成人尺寸或非儿童款</x:v>
      </x:c>
      <x:c r="K24" s="4" t="str">
        <x:v>尺寸形态边界、承重未知</x:v>
      </x:c>
      <x:c r="L24" s="4" t="str">
        <x:v>https://www.amazon.es/Vinsetto-Caballete-Pintura-Plegable-Inferior/dp/B0H97D68CW?psc=1</x:v>
      </x:c>
      <x:c r="M24" s="4" t="str">
        <x:v>B0_84bacc4c6b66_021558</x:v>
      </x:c>
      <x:c r="N24" s="4" t="str">
        <x:v>3926915fad95032786ab6dcf48bc663c8ea8732bcfac608fd72f7fec444f3991</x:v>
      </x:c>
      <x:c r="O24" s="8"/>
      <x:c r="P24" s="8"/>
      <x:c r="Q24" s="8"/>
      <x:c r="R24" s="8"/>
    </x:row>
    <x:row r="25" ht="90" customHeight="1">
      <x:c r="A25" s="4" t="str">
        <x:v>P021</x:v>
      </x:c>
      <x:c r="B25" s="4" t="str">
        <x:v>Cubo de basura de plástico para colgar en la pared, para puertas de armarios, cocinas y baños, color verde y 9 cm, para eliminación compacta, en espacios habitables</x:v>
      </x:c>
      <x:c r="C25" s="4" t="str">
        <x:v>壁挂垃圾桶</x:v>
      </x:c>
      <x:c r="D25" s="4" t="str">
        <x:v>收集厨房或浴室垃圾</x:v>
      </x:c>
      <x:c r="E25" s="4" t="str">
        <x:v>保留</x:v>
      </x:c>
      <x:c r="F25" s="4" t="str"/>
      <x:c r="G25" s="4" t="str">
        <x:v>3208107</x:v>
      </x:c>
      <x:c r="H25" s="4" t="str">
        <x:v>Cubo de basura</x:v>
      </x:c>
      <x:c r="I25" s="4" t="str">
        <x:v>same_type</x:v>
      </x:c>
      <x:c r="J25" s="4" t="str">
        <x:v>垃圾桶主体与Action同类，挂装不等于专业维修件</x:v>
      </x:c>
      <x:c r="K25" s="4" t="str">
        <x:v>9cm含义及实际容量未知</x:v>
      </x:c>
      <x:c r="L25" s="4" t="str">
        <x:v>https://www.amazon.es/pl%C3%A1stico-armarios-eliminaci%C3%B3n-compacta-habitables/dp/B0HDD62775?psc=1</x:v>
      </x:c>
      <x:c r="M25" s="4" t="str">
        <x:v>B0_84bacc4c6b66_024584</x:v>
      </x:c>
      <x:c r="N25" s="4" t="str">
        <x:v>9adbd81c459cb98709b660fb071353eadccd77d61a4c7942280f21b18c0b7e8f</x:v>
      </x:c>
      <x:c r="O25" s="8"/>
      <x:c r="P25" s="8"/>
      <x:c r="Q25" s="8"/>
      <x:c r="R25" s="8"/>
    </x:row>
    <x:row r="26" ht="90" customHeight="1">
      <x:c r="A26" s="4" t="str">
        <x:v>P022</x:v>
      </x:c>
      <x:c r="B26" s="4" t="str">
        <x:v>QLOUNI 12 Piezas Mecanismos de Movimiento Relojes de Pared, Mecanismo Reloj de Pared con 12 Juegos Puntero, Movimiento de Cuarzo Silencioso para DIY, Reparación y Construcción de Relojes (20mm)</x:v>
      </x:c>
      <x:c r="C26" s="4" t="str">
        <x:v>墙钟机芯和指针配件</x:v>
      </x:c>
      <x:c r="D26" s="4" t="str">
        <x:v>制作维修墙钟</x:v>
      </x:c>
      <x:c r="E26" s="4" t="str">
        <x:v>观察</x:v>
      </x:c>
      <x:c r="F26" s="4" t="str">
        <x:v>专用或安装配件</x:v>
      </x:c>
      <x:c r="G26" s="4" t="str">
        <x:v>3016860</x:v>
      </x:c>
      <x:c r="H26" s="4" t="str">
        <x:v>Reloj de pared</x:v>
      </x:c>
      <x:c r="I26" s="4" t="str">
        <x:v>host_only</x:v>
      </x:c>
      <x:c r="J26" s="4" t="str">
        <x:v>机芯及指针是配件，墙钟参照只证明宿主关系</x:v>
      </x:c>
      <x:c r="K26" s="4" t="str">
        <x:v>轴长、指针兼容与静音未验证</x:v>
      </x:c>
      <x:c r="L26" s="4" t="str">
        <x:v>https://www.amazon.es/QLOUNI-Mecanismos-Movimiento-Silencioso-Construcci%C3%B3n/dp/B0FN7RW4Y6?psc=1</x:v>
      </x:c>
      <x:c r="M26" s="4" t="str">
        <x:v>B0_84bacc4c6b66_016478</x:v>
      </x:c>
      <x:c r="N26" s="4" t="str">
        <x:v>fd65187a76343142cd6188f7c7fb3563de2552cb801e5d10dd892a2988a914e0</x:v>
      </x:c>
      <x:c r="O26" s="8"/>
      <x:c r="P26" s="8"/>
      <x:c r="Q26" s="8"/>
      <x:c r="R26" s="8"/>
    </x:row>
    <x:row r="27" ht="90" customHeight="1">
      <x:c r="A27" s="4" t="str">
        <x:v>P023</x:v>
      </x:c>
      <x:c r="B27" s="4" t="str">
        <x:v>Kit de 29 Herramientas Arcilla con Barniz Arcilla(brillante) | Resistente a Rayones e Impermeable, Kit de Herramientas Ceramica para Esculpir, Modelar</x:v>
      </x:c>
      <x:c r="C27" s="4" t="str">
        <x:v>黏土塑形工具与涂层套装</x:v>
      </x:c>
      <x:c r="D27" s="4" t="str">
        <x:v>黏土雕塑和表面处理</x:v>
      </x:c>
      <x:c r="E27" s="4" t="str">
        <x:v>保留</x:v>
      </x:c>
      <x:c r="F27" s="4" t="str"/>
      <x:c r="G27" s="4" t="str">
        <x:v>3220664</x:v>
      </x:c>
      <x:c r="H27" s="4" t="str">
        <x:v>Kit de herramientas de arcilla</x:v>
      </x:c>
      <x:c r="I27" s="4" t="str">
        <x:v>related_type</x:v>
      </x:c>
      <x:c r="J27" s="4" t="str">
        <x:v>主要销售黏土工具，有具体Action工具参照；附带亮光涂层不据此补全配方</x:v>
      </x:c>
      <x:c r="K27" s="4" t="str">
        <x:v>工具及涂层完整清单未知</x:v>
      </x:c>
      <x:c r="L27" s="4" t="str">
        <x:v>https://www.amazon.es/Herramientas-Ceramica-Resistente-Impermeable-brillante/dp/B0DRNXTY6G?psc=1</x:v>
      </x:c>
      <x:c r="M27" s="4" t="str">
        <x:v>B0_84bacc4c6b66_009617</x:v>
      </x:c>
      <x:c r="N27" s="4" t="str">
        <x:v>83291be69f2f4d45a2e6b04fd26dbd4d75410157d806ce37543d7deed48b57da</x:v>
      </x:c>
      <x:c r="O27" s="8"/>
      <x:c r="P27" s="8"/>
      <x:c r="Q27" s="8"/>
      <x:c r="R27" s="8"/>
    </x:row>
    <x:row r="28" ht="90" customHeight="1">
      <x:c r="A28" s="4" t="str">
        <x:v>P024</x:v>
      </x:c>
      <x:c r="B28" s="4" t="str">
        <x:v>Jaxguom Calefacción por infrarrojos 800 W con wifi, termostato, toallero | Hasta 20 m²: panel calefactor de metal para pared y soporte, con mando a distancia, temporizador, detección de ventanas</x:v>
      </x:c>
      <x:c r="C28" s="4" t="str">
        <x:v>红外取暖面板</x:v>
      </x:c>
      <x:c r="D28" s="4" t="str">
        <x:v>室内供暖</x:v>
      </x:c>
      <x:c r="E28" s="4" t="str">
        <x:v>观察</x:v>
      </x:c>
      <x:c r="F28" s="4" t="str">
        <x:v>经营边界未确认</x:v>
      </x:c>
      <x:c r="G28" s="4" t="str"/>
      <x:c r="H28" s="4" t="str"/>
      <x:c r="I28" s="4" t="str">
        <x:v>none</x:v>
      </x:c>
      <x:c r="J28" s="4" t="str">
        <x:v>明确取暖面板，遥控只是配件；墙装与支架配置需核对，不是固定热水器</x:v>
      </x:c>
      <x:c r="K28" s="4" t="str">
        <x:v>安装、电气和温控安全未知</x:v>
      </x:c>
      <x:c r="L28" s="4" t="str">
        <x:v>https://www.amazon.es/Jaxguom-Calefacci%C3%B3n-infrarrojos-termostato-toallero/dp/B0HJR7VH65?psc=1</x:v>
      </x:c>
      <x:c r="M28" s="4" t="str">
        <x:v>B0_84bacc4c6b66_010812</x:v>
      </x:c>
      <x:c r="N28" s="4" t="str">
        <x:v>a8688b76a4742bcdf09977f5cd9b759bcd84cbaaa0f6eb2672959d54435d42d5</x:v>
      </x:c>
      <x:c r="O28" s="8"/>
      <x:c r="P28" s="8"/>
      <x:c r="Q28" s="8"/>
      <x:c r="R28" s="8"/>
    </x:row>
    <x:row r="29" ht="90" customHeight="1">
      <x:c r="A29" s="4" t="str">
        <x:v>P025</x:v>
      </x:c>
      <x:c r="B29" s="4" t="str">
        <x:v>Heschen Fusible Solar Fotovoltaico gPV HSPV-30 10 x 38 mm 20A 1000V DC 33kA | Paquete de 10, Certificado TÜV Rheinland, 33kA, Extinción de Arco Forzada, Protección Paneles Solares &amp; Inversor, IEC 60269-6</x:v>
      </x:c>
      <x:c r="C29" s="4" t="str">
        <x:v>光伏直流熔断器</x:v>
      </x:c>
      <x:c r="D29" s="4" t="str">
        <x:v>保护光伏电路</x:v>
      </x:c>
      <x:c r="E29" s="4" t="str">
        <x:v>观察</x:v>
      </x:c>
      <x:c r="F29" s="4" t="str">
        <x:v>专用或安装配件</x:v>
      </x:c>
      <x:c r="G29" s="4" t="str"/>
      <x:c r="H29" s="4" t="str"/>
      <x:c r="I29" s="4" t="str">
        <x:v>none</x:v>
      </x:c>
      <x:c r="J29" s="4" t="str">
        <x:v>熔断器为电路元件，太阳能灯或太阳能板不是同类</x:v>
      </x:c>
      <x:c r="K29" s="4" t="str">
        <x:v>额定值、认证和安装兼容未知</x:v>
      </x:c>
      <x:c r="L29" s="4" t="str">
        <x:v>https://www.amazon.es/Heschen-Fusible-Solar-Fotovoltaico-HSPV-30/dp/B0B7N68HHS?psc=1</x:v>
      </x:c>
      <x:c r="M29" s="4" t="str">
        <x:v>B0_84bacc4c6b66_009676</x:v>
      </x:c>
      <x:c r="N29" s="4" t="str">
        <x:v>afaeccc1ce507106cd11045fd6db8ac43b1e1e5bab9d10e167dc7a4ba5cfc74a</x:v>
      </x:c>
      <x:c r="O29" s="8"/>
      <x:c r="P29" s="8"/>
      <x:c r="Q29" s="8"/>
      <x:c r="R29" s="8"/>
    </x:row>
    <x:row r="30" ht="90" customHeight="1">
      <x:c r="A30" s="4" t="str">
        <x:v>P026</x:v>
      </x:c>
      <x:c r="B30" s="4" t="str">
        <x:v>4 Piezas Mopa Funda de Recambio para Leifheit Profi XL Micro Duo 47x15cm | Funda de Repuesto para fregona para Leifheit Profi XL Cotton Plus, Fundas de Mopa de Microfibra para Todo Tipo de Suelos</x:v>
      </x:c>
      <x:c r="C30" s="4" t="str">
        <x:v>指定拖把替换布套</x:v>
      </x:c>
      <x:c r="D30" s="4" t="str">
        <x:v>更换拖把清洁面</x:v>
      </x:c>
      <x:c r="E30" s="4" t="str">
        <x:v>观察</x:v>
      </x:c>
      <x:c r="F30" s="4" t="str">
        <x:v>专用或安装配件</x:v>
      </x:c>
      <x:c r="G30" s="4" t="str">
        <x:v>2580896</x:v>
      </x:c>
      <x:c r="H30" s="4" t="str">
        <x:v>Mopa de repuesto Vileda Wring&amp;Go</x:v>
      </x:c>
      <x:c r="I30" s="4" t="str">
        <x:v>related_type</x:v>
      </x:c>
      <x:c r="J30" s="4" t="str">
        <x:v>明确Leifheit替换布套，Action替换拖布只支持相关耗材，不能证明机型适配</x:v>
      </x:c>
      <x:c r="K30" s="4" t="str">
        <x:v>尺寸与型号兼容未知</x:v>
      </x:c>
      <x:c r="L30" s="4" t="str">
        <x:v>https://www.amazon.es/Leifheit-Profi-XL-Micro-Duo/dp/B0F4D94W9S?psc=1</x:v>
      </x:c>
      <x:c r="M30" s="4" t="str">
        <x:v>B0_84bacc4c6b66_012138</x:v>
      </x:c>
      <x:c r="N30" s="4" t="str">
        <x:v>b10f47b396d77b25729982774c867802e1406487c1b9431d09e06056ca458871</x:v>
      </x:c>
      <x:c r="O30" s="8"/>
      <x:c r="P30" s="8"/>
      <x:c r="Q30" s="8"/>
      <x:c r="R30" s="8"/>
    </x:row>
    <x:row r="31" ht="90" customHeight="1">
      <x:c r="A31" s="4" t="str">
        <x:v>P027</x:v>
      </x:c>
      <x:c r="B31" s="4" t="str">
        <x:v>Cartuchos antical para Laurastar Lift/Lift Plus/Lift Xtra | 3 unidades | Cartuchos de repuesto para filtro de agua, protección contra la cal, protección contra la corrosión, protección de la</x:v>
      </x:c>
      <x:c r="C31" s="4" t="str">
        <x:v>指定设备除垢滤芯</x:v>
      </x:c>
      <x:c r="D31" s="4" t="str">
        <x:v>过滤水并减少水垢</x:v>
      </x:c>
      <x:c r="E31" s="4" t="str">
        <x:v>观察</x:v>
      </x:c>
      <x:c r="F31" s="4" t="str">
        <x:v>专用或安装配件</x:v>
      </x:c>
      <x:c r="G31" s="4" t="str">
        <x:v>2566808</x:v>
      </x:c>
      <x:c r="H31" s="4" t="str">
        <x:v>Filtros de agua</x:v>
      </x:c>
      <x:c r="I31" s="4" t="str">
        <x:v>related_type</x:v>
      </x:c>
      <x:c r="J31" s="4" t="str">
        <x:v>滤芯是配件，Action水滤器仅相关不证明适配Laurastar</x:v>
      </x:c>
      <x:c r="K31" s="4" t="str">
        <x:v>滤材、接口和除垢效果未知</x:v>
      </x:c>
      <x:c r="L31" s="4" t="str">
        <x:v>https://www.amazon.es/Cartuchos-Laurastar-unidades-protecci%C3%B3n-corrosi%C3%B3n/dp/B0H9S83CY2?psc=1</x:v>
      </x:c>
      <x:c r="M31" s="4" t="str">
        <x:v>B0_84bacc4c6b66_004200</x:v>
      </x:c>
      <x:c r="N31" s="4" t="str">
        <x:v>96aabf8fffe4e0fed361103e63f19723879aa097e8da2cebd528527f189e2eae</x:v>
      </x:c>
      <x:c r="O31" s="8"/>
      <x:c r="P31" s="8"/>
      <x:c r="Q31" s="8"/>
      <x:c r="R31" s="8"/>
    </x:row>
    <x:row r="32" ht="90" customHeight="1">
      <x:c r="A32" s="4" t="str">
        <x:v>P028</x:v>
      </x:c>
      <x:c r="B32" s="4" t="str">
        <x:v>Amazon Basics colcha Manta de tela sherpa y microvisón, 220 x 240 cm, Marrón topo</x:v>
      </x:c>
      <x:c r="C32" s="4" t="str">
        <x:v>绒面毯</x:v>
      </x:c>
      <x:c r="D32" s="4" t="str">
        <x:v>保暖及床面覆盖</x:v>
      </x:c>
      <x:c r="E32" s="4" t="str">
        <x:v>保留</x:v>
      </x:c>
      <x:c r="F32" s="4" t="str"/>
      <x:c r="G32" s="4" t="str">
        <x:v>3217318</x:v>
      </x:c>
      <x:c r="H32" s="4" t="str">
        <x:v>Manta</x:v>
      </x:c>
      <x:c r="I32" s="4" t="str">
        <x:v>same_type</x:v>
      </x:c>
      <x:c r="J32" s="4" t="str">
        <x:v>毯子主体明确，microvisón不推定动物皮毛</x:v>
      </x:c>
      <x:c r="K32" s="4" t="str">
        <x:v>纤维构成与保暖性能未知</x:v>
      </x:c>
      <x:c r="L32" s="4" t="str">
        <x:v>https://www.amazon.es/AmazonBasics-Manta-sherpa-microvis%C3%B3n-Marr%C3%B3n/dp/B07D4TV2WJ/ref=sr_1_1325?dib=eyJ2IjoiMSJ9.1XRVggYXmI95p4R4N1BixjCdTaOXgMikvNwKQ0Aqd0_THhqfEIzJ1_DQQVpGRTYJPVa1gCXaLGR-aTcFClfG8rwp1Z6AwJmuJDNfxYI3xcOrR1M3t4RBvCezK2opXQMBx9rj5EL4oOPJ_lMZ4LEjBlD6LZOgX6B_pVGrW8PWL67VQkJ2oWyN8ILYg1ORHZ31CI8a-WA1F8yxXo_34a6tuMpW9uWLaui00qJu8R8Y9cZalS5BDchnrYVJqOXnUfnxg4N28u5otSU--_SjDUdq3Tkm-4X3vgzrgotd0V1iCt0.iN-PnzpwHwon_fsyGNGvnrBXsgJqhxFfiDWm5l3vcks&amp;dib_tag=se&amp;qid=1792649924&amp;s=kitchen&amp;sr=1-1325&amp;srs=88626813031&amp;xpid=qpnO31ULD-dQ4</x:v>
      </x:c>
      <x:c r="M32" s="4" t="str">
        <x:v>B0_84bacc4c6b66_001486</x:v>
      </x:c>
      <x:c r="N32" s="4" t="str">
        <x:v>7d61be359674eed6b9c3bd2bb8fd057a0acc295defccf060e8452417a79a6cc0</x:v>
      </x:c>
      <x:c r="O32" s="8"/>
      <x:c r="P32" s="8"/>
      <x:c r="Q32" s="8"/>
      <x:c r="R32" s="8"/>
    </x:row>
    <x:row r="33" ht="90" customHeight="1">
      <x:c r="A33" s="4" t="str">
        <x:v>P029</x:v>
      </x:c>
      <x:c r="B33" s="4" t="str">
        <x:v>WOKNOS Lámpara LED Para Espejo Para el Cuarto de Baño, 12 W, Lámpara Para Espejo Dorada Con Forma de Onda, 80 cm</x:v>
      </x:c>
      <x:c r="C33" s="4" t="str">
        <x:v>浴室镜前灯</x:v>
      </x:c>
      <x:c r="D33" s="4" t="str">
        <x:v>镜前照明</x:v>
      </x:c>
      <x:c r="E33" s="4" t="str">
        <x:v>观察</x:v>
      </x:c>
      <x:c r="F33" s="4" t="str">
        <x:v>经营边界未确认</x:v>
      </x:c>
      <x:c r="G33" s="4" t="str">
        <x:v>3218941</x:v>
      </x:c>
      <x:c r="H33" s="4" t="str">
        <x:v>Lámpara led</x:v>
      </x:c>
      <x:c r="I33" s="4" t="str">
        <x:v>related_type</x:v>
      </x:c>
      <x:c r="J33" s="4" t="str">
        <x:v>镜前灯是灯具，不是镜子；Action泛称LED灯未证明安装相同</x:v>
      </x:c>
      <x:c r="K33" s="4" t="str">
        <x:v>供电与安装防护未知</x:v>
      </x:c>
      <x:c r="L33" s="4" t="str">
        <x:v>https://www.amazon.es/WOKNOS-L%C3%A1mpara-Espejo-Cuarto-Dorada/dp/B0H8J3ZH9H?psc=1</x:v>
      </x:c>
      <x:c r="M33" s="4" t="str">
        <x:v>B0_84bacc4c6b66_021921</x:v>
      </x:c>
      <x:c r="N33" s="4" t="str">
        <x:v>0610fdef91cab008a4069bd8242c13ef7dd37c4ce98e14ce49f4618b88f5478c</x:v>
      </x:c>
      <x:c r="O33" s="8"/>
      <x:c r="P33" s="8"/>
      <x:c r="Q33" s="8"/>
      <x:c r="R33" s="8"/>
    </x:row>
    <x:row r="34" ht="90" customHeight="1">
      <x:c r="A34" s="4" t="str">
        <x:v>P030</x:v>
      </x:c>
      <x:c r="B34" s="4" t="str">
        <x:v>Vasos para batidos con tapas de cúpula sin agujero de 500 ml (paquete de 50) transparentes, perfectos para batidos, jugos, batidos, bebidas frías y gruesas (500ML Tapa sin Agujero)</x:v>
      </x:c>
      <x:c r="C34" s="4" t="str">
        <x:v>带圆顶盖饮品杯</x:v>
      </x:c>
      <x:c r="D34" s="4" t="str">
        <x:v>盛装冷饮</x:v>
      </x:c>
      <x:c r="E34" s="4" t="str">
        <x:v>保留</x:v>
      </x:c>
      <x:c r="F34" s="4" t="str"/>
      <x:c r="G34" s="4" t="str">
        <x:v>3215023</x:v>
      </x:c>
      <x:c r="H34" s="4" t="str">
        <x:v>Vasos</x:v>
      </x:c>
      <x:c r="I34" s="4" t="str">
        <x:v>same_type</x:v>
      </x:c>
      <x:c r="J34" s="4" t="str">
        <x:v>杯具主体明确，未从透明或数量推定塑料及一次性</x:v>
      </x:c>
      <x:c r="K34" s="4" t="str">
        <x:v>材料和食品接触未知</x:v>
      </x:c>
      <x:c r="L34" s="4" t="str">
        <x:v>https://www.amazon.es/batidos-agujero-paquete-transparentes-perfectos/dp/B0CSWWCCD6?psc=1</x:v>
      </x:c>
      <x:c r="M34" s="4" t="str">
        <x:v>B0_84bacc4c6b66_023324</x:v>
      </x:c>
      <x:c r="N34" s="4" t="str">
        <x:v>69594552f9540dec677a8cd4fe373722c97e45c0f2a1127c7afbaf4aadbce60f</x:v>
      </x:c>
      <x:c r="O34" s="8"/>
      <x:c r="P34" s="8"/>
      <x:c r="Q34" s="8"/>
      <x:c r="R34" s="8"/>
    </x:row>
    <x:row r="35" ht="90" customHeight="1">
      <x:c r="A35" s="4" t="str">
        <x:v>P031</x:v>
      </x:c>
      <x:c r="B35" s="4" t="str">
        <x:v>Tablero bloqueador de Granny Square 19,5 x 19,5 cm – Bloqueador de granny crochet en madera con 10 varillas de acero inoxidable y 5 alfileres, accesorio práctico para ganchillo y piezas de punto.</x:v>
      </x:c>
      <x:c r="C35" s="4" t="str">
        <x:v>钩织方片定型板</x:v>
      </x:c>
      <x:c r="D35" s="4" t="str">
        <x:v>固定钩织作品形状</x:v>
      </x:c>
      <x:c r="E35" s="4" t="str">
        <x:v>观察</x:v>
      </x:c>
      <x:c r="F35" s="4" t="str">
        <x:v>缺少有效Action参照</x:v>
      </x:c>
      <x:c r="G35" s="4" t="str"/>
      <x:c r="H35" s="4" t="str"/>
      <x:c r="I35" s="4" t="str">
        <x:v>none</x:v>
      </x:c>
      <x:c r="J35" s="4" t="str">
        <x:v>定型板用于钩织后整理，不是钩针本身；钢针只是组件</x:v>
      </x:c>
      <x:c r="K35" s="4" t="str">
        <x:v>针距和适配作品尺寸未知</x:v>
      </x:c>
      <x:c r="L35" s="4" t="str">
        <x:v>https://www.amazon.es/Tablero-bloqueador-Granny-Square-Bloqueador/dp/B0F5HLKJ96?psc=1</x:v>
      </x:c>
      <x:c r="M35" s="4" t="str">
        <x:v>B0_84bacc4c6b66_019545</x:v>
      </x:c>
      <x:c r="N35" s="4" t="str">
        <x:v>af9b78151cc6f13b7715e6694b7b90dda987a569aa66b79f5b007b8e17abf734</x:v>
      </x:c>
      <x:c r="O35" s="8"/>
      <x:c r="P35" s="8"/>
      <x:c r="Q35" s="8"/>
      <x:c r="R35" s="8"/>
    </x:row>
    <x:row r="36" ht="90" customHeight="1">
      <x:c r="A36" s="4" t="str">
        <x:v>P032</x:v>
      </x:c>
      <x:c r="B36" s="4" t="str">
        <x:v>XALFST Hojas de arce otoñales 100 piezas, acabado artificial duradero. Textura 3D realista para decoración otoño segura en manualidades y centros de mesa festivos</x:v>
      </x:c>
      <x:c r="C36" s="4" t="str">
        <x:v>人造秋季枫叶装饰</x:v>
      </x:c>
      <x:c r="D36" s="4" t="str">
        <x:v>手工及桌面布置</x:v>
      </x:c>
      <x:c r="E36" s="4" t="str">
        <x:v>保留</x:v>
      </x:c>
      <x:c r="F36" s="4" t="str"/>
      <x:c r="G36" s="4" t="str">
        <x:v>2547730</x:v>
      </x:c>
      <x:c r="H36" s="4" t="str">
        <x:v>Hojas de otoño</x:v>
      </x:c>
      <x:c r="I36" s="4" t="str">
        <x:v>same_type</x:v>
      </x:c>
      <x:c r="J36" s="4" t="str">
        <x:v>仿真落叶装饰与Action秋叶相关，不视为天然植物</x:v>
      </x:c>
      <x:c r="K36" s="4" t="str">
        <x:v>材料与安全声称未知</x:v>
      </x:c>
      <x:c r="L36" s="4" t="str">
        <x:v>https://www.amazon.es/XALFST-artificial-duradero-decoraci%C3%B3n-manualidades/dp/B0HDBYCVDW?psc=1</x:v>
      </x:c>
      <x:c r="M36" s="4" t="str">
        <x:v>B0_84bacc4c6b66_022265</x:v>
      </x:c>
      <x:c r="N36" s="4" t="str">
        <x:v>3b32129b0db53e600e5b8af13e6f6aba4fbe48efced96c1329265738700df5a4</x:v>
      </x:c>
      <x:c r="O36" s="8"/>
      <x:c r="P36" s="8"/>
      <x:c r="Q36" s="8"/>
      <x:c r="R36" s="8"/>
    </x:row>
    <x:row r="37" ht="90" customHeight="1">
      <x:c r="A37" s="4" t="str">
        <x:v>P033</x:v>
      </x:c>
      <x:c r="B37" s="4" t="str">
        <x:v>BRA Prior | Cacerola baja tapa cristal y asas de silicona 28 cm</x:v>
      </x:c>
      <x:c r="C37" s="4" t="str">
        <x:v>带盖浅炖锅</x:v>
      </x:c>
      <x:c r="D37" s="4" t="str">
        <x:v>炖煮食物</x:v>
      </x:c>
      <x:c r="E37" s="4" t="str">
        <x:v>保留</x:v>
      </x:c>
      <x:c r="F37" s="4" t="str"/>
      <x:c r="G37" s="4" t="str">
        <x:v>3007603</x:v>
      </x:c>
      <x:c r="H37" s="4" t="str">
        <x:v>Olla con tapa de cristal Sola</x:v>
      </x:c>
      <x:c r="I37" s="4" t="str">
        <x:v>related_type</x:v>
      </x:c>
      <x:c r="J37" s="4" t="str">
        <x:v>锅具和盖明确，硅胶提手不成为主体；Action带盖锅为相关参照</x:v>
      </x:c>
      <x:c r="K37" s="4" t="str">
        <x:v>灶具适配与耐热未知</x:v>
      </x:c>
      <x:c r="L37" s="4" t="str">
        <x:v>https://www.amazon.es/BRA-Prior-Cacerola-Cristal-Silicona/dp/B00YF4MQ1S/ref=sr_1_222?dib=eyJ2IjoiMSJ9.UGMfOASA3vP1GNwF7GtjlPrzs6Tl_eUGYT0-5I8CwAKESLoEGEOIkQgYLJYDmkaQQBWhK_w3k7xHWM7sWePHSGkP0chpDOfAwaaIK1gtUHeRrhKpGQbucN2SfM5lyLteRDgmZ2Lso-nPwD2EO9F7JxOopa95tbjrYr_T4cGriByjL8cqhsHNa16SOAx4MVnsa5doWGzsxWy98Rvr9SbZ703lAcn2uUWWdcqQDyKOtrFfSSXl4xupNfWkSa60gKUl0wqZeikydrXpksNwkBPdURdQiUL5wZ9gW5FpMjp7TTI.sAxC0sNxDxIUMuIW5a7dTi0jBjeCIrhA-UK1SJjIekk&amp;dib_tag=se&amp;qid=1792649108&amp;s=kitchen&amp;sr=1-222&amp;srs=88626813031&amp;xpid=qpnO31ULD-dQ4</x:v>
      </x:c>
      <x:c r="M37" s="4" t="str">
        <x:v>B0_84bacc4c6b66_002368</x:v>
      </x:c>
      <x:c r="N37" s="4" t="str">
        <x:v>d6fa9125f3a3750cf81ccce766a1d9cd3803e1faade925142930f0834a4a9c1d</x:v>
      </x:c>
      <x:c r="O37" s="8"/>
      <x:c r="P37" s="8"/>
      <x:c r="Q37" s="8"/>
      <x:c r="R37" s="8"/>
    </x:row>
    <x:row r="38" ht="90" customHeight="1">
      <x:c r="A38" s="4" t="str">
        <x:v>P034</x:v>
      </x:c>
      <x:c r="B38" s="4" t="str">
        <x:v>IMLDUY 790 Pcs Ojos Manualidades, Ojos Amigurumi, Kit DIY con Ojos Planos (4-10mm) y Ojos Autoadhesivos en Varios Tamaños, Accesorios para Peluches, Muñecos y Scrapbooking</x:v>
      </x:c>
      <x:c r="C38" s="4" t="str">
        <x:v>玩偶手工眼睛配件套装</x:v>
      </x:c>
      <x:c r="D38" s="4" t="str">
        <x:v>装饰玩偶和手工作品</x:v>
      </x:c>
      <x:c r="E38" s="4" t="str">
        <x:v>保留</x:v>
      </x:c>
      <x:c r="F38" s="4" t="str"/>
      <x:c r="G38" s="4" t="str">
        <x:v>2543851</x:v>
      </x:c>
      <x:c r="H38" s="4" t="str">
        <x:v>Ojos móviles</x:v>
      </x:c>
      <x:c r="I38" s="4" t="str">
        <x:v>related_type</x:v>
      </x:c>
      <x:c r="J38" s="4" t="str">
        <x:v>主体是手工眼饰，与Action活动眼睛相关但固定方式可能不同</x:v>
      </x:c>
      <x:c r="K38" s="4" t="str">
        <x:v>适龄及各类件数未知</x:v>
      </x:c>
      <x:c r="L38" s="4" t="str">
        <x:v>https://www.amazon.es/IMLDUY-Manualidades-Autoadhesivos-Accesorios-Scrapbooking/dp/B0HF89PB3D?psc=1</x:v>
      </x:c>
      <x:c r="M38" s="4" t="str">
        <x:v>B0_84bacc4c6b66_010018</x:v>
      </x:c>
      <x:c r="N38" s="4" t="str">
        <x:v>5fed3a826e4bf7d302d95132b2e40950019076b4d9fc0e4fd233f01f351b705a</x:v>
      </x:c>
      <x:c r="O38" s="8"/>
      <x:c r="P38" s="8"/>
      <x:c r="Q38" s="8"/>
      <x:c r="R38" s="8"/>
    </x:row>
    <x:row r="39" ht="90" customHeight="1">
      <x:c r="A39" s="4" t="str">
        <x:v>P035</x:v>
      </x:c>
      <x:c r="B39" s="4" t="str">
        <x:v>Pack 3 Filtros Zeolita de Agua Alkanatur Drops – Depuración + Alcalinización + Hidrogenación – Elimina Cloro Metales Pesados y Microplásticos – Añade Magnesio – Libres de Tóxicos | ALKANATUR</x:v>
      </x:c>
      <x:c r="C39" s="4" t="str">
        <x:v>饮水过滤芯</x:v>
      </x:c>
      <x:c r="D39" s="4" t="str">
        <x:v>处理饮用水</x:v>
      </x:c>
      <x:c r="E39" s="4" t="str">
        <x:v>观察</x:v>
      </x:c>
      <x:c r="F39" s="4" t="str">
        <x:v>专用或安装配件</x:v>
      </x:c>
      <x:c r="G39" s="4" t="str">
        <x:v>2566808</x:v>
      </x:c>
      <x:c r="H39" s="4" t="str">
        <x:v>Filtros de agua</x:v>
      </x:c>
      <x:c r="I39" s="4" t="str">
        <x:v>related_type</x:v>
      </x:c>
      <x:c r="J39" s="4" t="str">
        <x:v>过滤芯主体清楚，品牌型号适配需确认；加氢碱化等为来源声称</x:v>
      </x:c>
      <x:c r="K39" s="4" t="str">
        <x:v>滤材及净化健康效果未验证</x:v>
      </x:c>
      <x:c r="L39" s="4" t="str">
        <x:v>https://www.amazon.es/Pack-Filtros-Zeolita-Alkanatur-Drops/dp/B0FS75KPHS?psc=1</x:v>
      </x:c>
      <x:c r="M39" s="4" t="str">
        <x:v>B0_84bacc4c6b66_015250</x:v>
      </x:c>
      <x:c r="N39" s="4" t="str">
        <x:v>8bea7f7438587c39ff6ce63a4a14154be55a56795ba852115ee523c0381aa9ca</x:v>
      </x:c>
      <x:c r="O39" s="8"/>
      <x:c r="P39" s="8"/>
      <x:c r="Q39" s="8"/>
      <x:c r="R39" s="8"/>
    </x:row>
    <x:row r="40" ht="90" customHeight="1">
      <x:c r="A40" s="4" t="str">
        <x:v>P036</x:v>
      </x:c>
      <x:c r="B40" s="4" t="str">
        <x:v>Par de bisagras de tapa de tocadiscos reforzadas con metal | Reemplazo directo, se adapta a modelos modernos vintage, plástico negro, incluye cepillo de limpieza, fácil de instalar</x:v>
      </x:c>
      <x:c r="C40" s="4" t="str">
        <x:v>唱机盖铰链</x:v>
      </x:c>
      <x:c r="D40" s="4" t="str">
        <x:v>修复唱机上盖连接</x:v>
      </x:c>
      <x:c r="E40" s="4" t="str">
        <x:v>观察</x:v>
      </x:c>
      <x:c r="F40" s="4" t="str">
        <x:v>专用或安装配件</x:v>
      </x:c>
      <x:c r="G40" s="4" t="str">
        <x:v>3221235</x:v>
      </x:c>
      <x:c r="H40" s="4" t="str">
        <x:v>Bisagras</x:v>
      </x:c>
      <x:c r="I40" s="4" t="str">
        <x:v>category_only</x:v>
      </x:c>
      <x:c r="J40" s="4" t="str">
        <x:v>唱机铰链为专用配件，普通铰链仅大类相关；刷子是附属</x:v>
      </x:c>
      <x:c r="K40" s="4" t="str">
        <x:v>型号与螺孔适配未知</x:v>
      </x:c>
      <x:c r="L40" s="4" t="str">
        <x:v>https://www.amazon.es/bisagras-tapa-tocadiscos-reforzadas-metal/dp/B0HGB3CDVL?psc=1</x:v>
      </x:c>
      <x:c r="M40" s="4" t="str">
        <x:v>B0_84bacc4c6b66_023338</x:v>
      </x:c>
      <x:c r="N40" s="4" t="str">
        <x:v>59e7c5cd074de091c5ab91855376729c703ffedf46d9cb95128df7f785c3388e</x:v>
      </x:c>
      <x:c r="O40" s="8"/>
      <x:c r="P40" s="8"/>
      <x:c r="Q40" s="8"/>
      <x:c r="R40" s="8"/>
    </x:row>
    <x:row r="41" ht="90" customHeight="1">
      <x:c r="A41" s="4" t="str">
        <x:v>P037</x:v>
      </x:c>
      <x:c r="B41" s="4" t="str">
        <x:v>Kornely Cepillo Taladro Premium, Extra Dura 13cm, Negro, Uso Intensivo | 10x mas eficiente, antiarañazos, cerdas de doble densidad; hormigón, metal, barbacoas, uso intensivo; vástago hexagonal 8mm</x:v>
      </x:c>
      <x:c r="C41" s="4" t="str">
        <x:v>电钻用清洁刷</x:v>
      </x:c>
      <x:c r="D41" s="4" t="str">
        <x:v>借助电钻清洁表面</x:v>
      </x:c>
      <x:c r="E41" s="4" t="str">
        <x:v>观察</x:v>
      </x:c>
      <x:c r="F41" s="4" t="str">
        <x:v>经营边界未确认</x:v>
      </x:c>
      <x:c r="G41" s="4" t="str">
        <x:v>3212155</x:v>
      </x:c>
      <x:c r="H41" s="4" t="str">
        <x:v>Cepillo para barbacoa</x:v>
      </x:c>
      <x:c r="I41" s="4" t="str">
        <x:v>related_type</x:v>
      </x:c>
      <x:c r="J41" s="4" t="str">
        <x:v>主体是电钻刷附件，烧烤刷只支持清洁刷用途，不证明动力适配</x:v>
      </x:c>
      <x:c r="K41" s="4" t="str">
        <x:v>柄径适配与防刮声称未知</x:v>
      </x:c>
      <x:c r="L41" s="4" t="str">
        <x:v>https://www.amazon.es/Kornely-Cepillo-Taladro-Premium-Intensivo/dp/B07TMDVFB5?psc=1</x:v>
      </x:c>
      <x:c r="M41" s="4" t="str">
        <x:v>B0_84bacc4c6b66_011578</x:v>
      </x:c>
      <x:c r="N41" s="4" t="str">
        <x:v>c22449871d4b627f4151cd405710228d3a1dd19d07657a84ece8ac03d84f1058</x:v>
      </x:c>
      <x:c r="O41" s="8"/>
      <x:c r="P41" s="8"/>
      <x:c r="Q41" s="8"/>
      <x:c r="R41" s="8"/>
    </x:row>
    <x:row r="42" ht="90" customHeight="1">
      <x:c r="A42" s="4" t="str">
        <x:v>P038</x:v>
      </x:c>
      <x:c r="B42" s="4" t="str">
        <x:v>Decoración Halloween Casa Kit Guirnalda Happy Halloween, Globos Esqueleto y Murciélago XXL, Pegatinas 3D, Photocall y Espirales - Set Adornos Fiesta</x:v>
      </x:c>
      <x:c r="C42" s="4" t="str">
        <x:v>万圣节派对装饰套装</x:v>
      </x:c>
      <x:c r="D42" s="4" t="str">
        <x:v>节庆场景布置</x:v>
      </x:c>
      <x:c r="E42" s="4" t="str">
        <x:v>观察</x:v>
      </x:c>
      <x:c r="F42" s="4" t="str">
        <x:v>参照仅覆盖套装部分</x:v>
      </x:c>
      <x:c r="G42" s="4" t="str">
        <x:v>3006792</x:v>
      </x:c>
      <x:c r="H42" s="4" t="str">
        <x:v>Decoración de Halloween con luz</x:v>
      </x:c>
      <x:c r="I42" s="4" t="str">
        <x:v>related_type</x:v>
      </x:c>
      <x:c r="J42" s="4" t="str">
        <x:v>套装包含多种装饰，单个Action万圣节灯饰只能覆盖部分构成；参照不足以支持完整销售主体</x:v>
      </x:c>
      <x:c r="K42" s="4" t="str">
        <x:v>完整配置及图案未知</x:v>
      </x:c>
      <x:c r="L42" s="4" t="str">
        <x:v>https://www.amazon.es/Decoracion-Halloween-Casa-por-Ninos/dp/B09G6H2X74?psc=1</x:v>
      </x:c>
      <x:c r="M42" s="4" t="str">
        <x:v>B0_84bacc4c6b66_005921</x:v>
      </x:c>
      <x:c r="N42" s="4" t="str">
        <x:v>6260710cb248eda01bb758a54fb1cca2b3afa365fa3934115bc026e6e9b45e54</x:v>
      </x:c>
      <x:c r="O42" s="8"/>
      <x:c r="P42" s="8"/>
      <x:c r="Q42" s="8"/>
      <x:c r="R42" s="8"/>
    </x:row>
    <x:row r="43" ht="90" customHeight="1">
      <x:c r="A43" s="4" t="str">
        <x:v>P039</x:v>
      </x:c>
      <x:c r="B43" s="4" t="str">
        <x:v>Carro Compra 4 Ruedas, 56L Carro de la Compra, Bolsa Térmica, Marino | Bolsa: 38 x 24 x 59cm, Tamafio Total: 41 x 48 x 88cm</x:v>
      </x:c>
      <x:c r="C43" s="4" t="str">
        <x:v>购物拉车</x:v>
      </x:c>
      <x:c r="D43" s="4" t="str">
        <x:v>搬运购物物品</x:v>
      </x:c>
      <x:c r="E43" s="4" t="str">
        <x:v>保留</x:v>
      </x:c>
      <x:c r="F43" s="4" t="str"/>
      <x:c r="G43" s="4" t="str">
        <x:v>3218137</x:v>
      </x:c>
      <x:c r="H43" s="4" t="str">
        <x:v>Bolsa de la compra</x:v>
      </x:c>
      <x:c r="I43" s="4" t="str">
        <x:v>specific_need</x:v>
      </x:c>
      <x:c r="J43" s="4" t="str">
        <x:v>购物车和购物袋共享携带购物品需要，不等于普通家具</x:v>
      </x:c>
      <x:c r="K43" s="4" t="str">
        <x:v>承重及保温袋性能未知</x:v>
      </x:c>
      <x:c r="L43" s="4" t="str">
        <x:v>https://www.amazon.es/Carro-Compra-Ruedas-T%C3%A9rmica-Marino/dp/B0H1JJ5F7Q?psc=1</x:v>
      </x:c>
      <x:c r="M43" s="4" t="str">
        <x:v>B0_84bacc4c6b66_004186</x:v>
      </x:c>
      <x:c r="N43" s="4" t="str">
        <x:v>fdec8e0c11725ed361ae82c3550a596d3d8626304873163cc9654e866b7e83a9</x:v>
      </x:c>
      <x:c r="O43" s="8"/>
      <x:c r="P43" s="8"/>
      <x:c r="Q43" s="8"/>
      <x:c r="R43" s="8"/>
    </x:row>
    <x:row r="44" ht="90" customHeight="1">
      <x:c r="A44" s="4" t="str">
        <x:v>P040</x:v>
      </x:c>
      <x:c r="B44" s="4" t="str">
        <x:v>Parches Reparar Plumiferos, 20PCS Parches para Ropa Adhesivo Negro | Parches para Tela, para Chaquetas de Plumas, Tienda, Jeans, Chaquetas, Mochilas, Decoración DIY</x:v>
      </x:c>
      <x:c r="C44" s="4" t="str">
        <x:v>衣物修补贴</x:v>
      </x:c>
      <x:c r="D44" s="4" t="str">
        <x:v>修补羽绒服及布料</x:v>
      </x:c>
      <x:c r="E44" s="4" t="str">
        <x:v>观察</x:v>
      </x:c>
      <x:c r="F44" s="4" t="str">
        <x:v>缺少有效Action参照</x:v>
      </x:c>
      <x:c r="G44" s="4" t="str"/>
      <x:c r="H44" s="4" t="str"/>
      <x:c r="I44" s="4" t="str">
        <x:v>none</x:v>
      </x:c>
      <x:c r="J44" s="4" t="str">
        <x:v>修补贴不是衣物本身，不能把健康热贴或祛痘贴当同类</x:v>
      </x:c>
      <x:c r="K44" s="4" t="str">
        <x:v>胶粘与织物兼容未知</x:v>
      </x:c>
      <x:c r="L44" s="4" t="str">
        <x:v>https://www.amazon.es/Plumiferos-Adhesivo-Chaquetas-Mochilas-Decoraci%C3%B3n/dp/B0HJH9WV7F?psc=1</x:v>
      </x:c>
      <x:c r="M44" s="4" t="str">
        <x:v>B0_84bacc4c6b66_015996</x:v>
      </x:c>
      <x:c r="N44" s="4" t="str">
        <x:v>93ba9410bd19b4c56a53ae95384ad6cd55ece45eb63fa5077c2edf3ce141f276</x:v>
      </x:c>
      <x:c r="O44" s="8"/>
      <x:c r="P44" s="8"/>
      <x:c r="Q44" s="8"/>
      <x:c r="R44" s="8"/>
    </x:row>
    <x:row r="45" ht="90" customHeight="1">
      <x:c r="A45" s="4" t="str">
        <x:v>P041</x:v>
      </x:c>
      <x:c r="B45" s="4" t="str">
        <x:v>ZTVOWTO 10m×10cm Color de grano de madera Adhesivo autoadhesivo para pared con borde de papel pintado impermeable Cenefa adhesiva con diseño para decoración del hogar,Roble Cafetero</x:v>
      </x:c>
      <x:c r="C45" s="4" t="str">
        <x:v>自粘装饰腰线</x:v>
      </x:c>
      <x:c r="D45" s="4" t="str">
        <x:v>墙面收边装饰</x:v>
      </x:c>
      <x:c r="E45" s="4" t="str">
        <x:v>保留</x:v>
      </x:c>
      <x:c r="F45" s="4" t="str"/>
      <x:c r="G45" s="4" t="str">
        <x:v>2577397</x:v>
      </x:c>
      <x:c r="H45" s="4" t="str">
        <x:v>Papel pintado</x:v>
      </x:c>
      <x:c r="I45" s="4" t="str">
        <x:v>related_type</x:v>
      </x:c>
      <x:c r="J45" s="4" t="str">
        <x:v>装饰腰线与墙纸为相关墙面装饰，木纹是外观不是实木材料</x:v>
      </x:c>
      <x:c r="K45" s="4" t="str">
        <x:v>防水和粘附未知</x:v>
      </x:c>
      <x:c r="L45" s="4" t="str">
        <x:v>https://www.amazon.es/Adhesivo-autoadhesivo-impermeable-adhesiva-decoraci%C3%B3n/dp/B0CRTTGKCF?psc=1</x:v>
      </x:c>
      <x:c r="M45" s="4" t="str">
        <x:v>B0_84bacc4c6b66_000833</x:v>
      </x:c>
      <x:c r="N45" s="4" t="str">
        <x:v>9eb9d60c239f6d059c8752da86e0464d72e8fbcc980ca04bdae3c7c79780f4e1</x:v>
      </x:c>
      <x:c r="O45" s="8"/>
      <x:c r="P45" s="8"/>
      <x:c r="Q45" s="8"/>
      <x:c r="R45" s="8"/>
    </x:row>
    <x:row r="46" ht="90" customHeight="1">
      <x:c r="A46" s="4" t="str">
        <x:v>P042</x:v>
      </x:c>
      <x:c r="B46" s="4" t="str">
        <x:v>Sculpey Original Polymer Clay 1Lb-White</x:v>
      </x:c>
      <x:c r="C46" s="4" t="str">
        <x:v>聚合物造型黏土</x:v>
      </x:c>
      <x:c r="D46" s="4" t="str">
        <x:v>手工塑形</x:v>
      </x:c>
      <x:c r="E46" s="4" t="str">
        <x:v>保留</x:v>
      </x:c>
      <x:c r="F46" s="4" t="str"/>
      <x:c r="G46" s="4" t="str">
        <x:v>2527108</x:v>
      </x:c>
      <x:c r="H46" s="4" t="str">
        <x:v>Arcilla para moldear Creall Do &amp; Dry</x:v>
      </x:c>
      <x:c r="I46" s="4" t="str">
        <x:v>related_type</x:v>
      </x:c>
      <x:c r="J46" s="4" t="str">
        <x:v>商品英文明确聚合物黏土，与造型黏土类型相关，不推定同固化方法</x:v>
      </x:c>
      <x:c r="K46" s="4" t="str">
        <x:v>固化温度与安全未知</x:v>
      </x:c>
      <x:c r="L46" s="4" t="str">
        <x:v>https://www.amazon.es/Sculpey-Original-Polymer-Clay-1Lb-White/dp/B008R86AOW/ref=sr_1_2012?dib=eyJ2IjoiMSJ9.OOHrfzqwB8Ra6bnaOSIS2TCDycOYPiR55BcRPt7TtbUtkZjjjCpD3HeqdfNeDQ5r0cKwJ-4bFonFJk2i_e1L83e3efe26TflPNHtKrpAkpO3Iws6V8kUUqhGKlGxxnb-pyTVbriw7FfAtd4S9uwiXW5iIduvfdlAa9OzzWlzuy9vu8BdAk1ZGJkEISEz1bstwqUc37wnRw_BTnSCKv8Df-jrRqY-uejNBAm3jgKVi3JtjEXe1kIpn694e3tG4CzDyp8LWqw_LmnKLi_uA53SIub3WQgdyMqVGEK49K_8vK8.i61CIu97bmTxdIp0cP8jffrfUz-PFDiV9aVLtWT9P6I&amp;dib_tag=se&amp;qid=1792598306&amp;s=kitchen&amp;sr=1-2012&amp;srs=88626813031&amp;xpid=CeuYXw3Vdr0Bg</x:v>
      </x:c>
      <x:c r="M46" s="4" t="str">
        <x:v>B0_84bacc4c6b66_018380</x:v>
      </x:c>
      <x:c r="N46" s="4" t="str">
        <x:v>45b89ec0b8a711af8eddf9a180518de80fc0df3c73f8619190aeadc467aec602</x:v>
      </x:c>
      <x:c r="O46" s="8"/>
      <x:c r="P46" s="8"/>
      <x:c r="Q46" s="8"/>
      <x:c r="R46" s="8"/>
    </x:row>
    <x:row r="47" ht="90" customHeight="1">
      <x:c r="A47" s="4" t="str">
        <x:v>P043</x:v>
      </x:c>
      <x:c r="B47" s="4" t="str">
        <x:v>Placa de cubierta de orificio de techo redond con hebilla | Tapa embellecedora orificio para luz empotrada montada pared, panel decorativo acceso redond extraíble, para sala de estar</x:v>
      </x:c>
      <x:c r="C47" s="4" t="str">
        <x:v>天花孔装饰盖板</x:v>
      </x:c>
      <x:c r="D47" s="4" t="str">
        <x:v>遮盖预留孔</x:v>
      </x:c>
      <x:c r="E47" s="4" t="str">
        <x:v>观察</x:v>
      </x:c>
      <x:c r="F47" s="4" t="str">
        <x:v>专用或安装配件</x:v>
      </x:c>
      <x:c r="G47" s="4" t="str"/>
      <x:c r="H47" s="4" t="str"/>
      <x:c r="I47" s="4" t="str">
        <x:v>none</x:v>
      </x:c>
      <x:c r="J47" s="4" t="str">
        <x:v>盖板是安装构件而非灯具，不能继承吸顶灯主体</x:v>
      </x:c>
      <x:c r="K47" s="4" t="str">
        <x:v>孔径和卡扣适配未知</x:v>
      </x:c>
      <x:c r="L47" s="4" t="str">
        <x:v>https://www.amazon.es/Placa-cubierta-orificio-redond-hebilla/dp/B0HK3NWV3K?psc=1</x:v>
      </x:c>
      <x:c r="M47" s="4" t="str">
        <x:v>B0_84bacc4c6b66_015930</x:v>
      </x:c>
      <x:c r="N47" s="4" t="str">
        <x:v>ac2b540add6c7c33bcc66ad72960ce975c2901fb4303fb233698b2201d016da5</x:v>
      </x:c>
      <x:c r="O47" s="8"/>
      <x:c r="P47" s="8"/>
      <x:c r="Q47" s="8"/>
      <x:c r="R47" s="8"/>
    </x:row>
    <x:row r="48" ht="90" customHeight="1">
      <x:c r="A48" s="4" t="str">
        <x:v>P044</x:v>
      </x:c>
      <x:c r="B48" s="4" t="str">
        <x:v>Mecanismo De Reloj - Maquinaria Reloj Pared Silencioso con 1 Juegos De Puntero - Maquinaria Relojes Pared Precisión Alta para Reparación Reemplazo Piezas</x:v>
      </x:c>
      <x:c r="C48" s="4" t="str">
        <x:v>墙钟机芯与指针</x:v>
      </x:c>
      <x:c r="D48" s="4" t="str">
        <x:v>墙钟维修</x:v>
      </x:c>
      <x:c r="E48" s="4" t="str">
        <x:v>观察</x:v>
      </x:c>
      <x:c r="F48" s="4" t="str">
        <x:v>专用或安装配件</x:v>
      </x:c>
      <x:c r="G48" s="4" t="str">
        <x:v>3016860</x:v>
      </x:c>
      <x:c r="H48" s="4" t="str">
        <x:v>Reloj de pared</x:v>
      </x:c>
      <x:c r="I48" s="4" t="str">
        <x:v>host_only</x:v>
      </x:c>
      <x:c r="J48" s="4" t="str">
        <x:v>机芯和指针为配件，墙钟仅宿主参照</x:v>
      </x:c>
      <x:c r="K48" s="4" t="str">
        <x:v>轴长、指针与供电未知</x:v>
      </x:c>
      <x:c r="L48" s="4" t="str">
        <x:v>https://www.amazon.es/Mecanismo-Reloj-Maquinaria-Silencioso-Reparaci%C3%B3n/dp/B0FJWFX4XC?psc=1</x:v>
      </x:c>
      <x:c r="M48" s="4" t="str">
        <x:v>B0_84bacc4c6b66_013255</x:v>
      </x:c>
      <x:c r="N48" s="4" t="str">
        <x:v>a873edbb52ae4e86e4fde03a085690f301d48c9a61a79b45812a6b90e4fab1cb</x:v>
      </x:c>
      <x:c r="O48" s="8"/>
      <x:c r="P48" s="8"/>
      <x:c r="Q48" s="8"/>
      <x:c r="R48" s="8"/>
    </x:row>
    <x:row r="49" ht="90" customHeight="1">
      <x:c r="A49" s="4" t="str">
        <x:v>P045</x:v>
      </x:c>
      <x:c r="B49" s="4" t="str">
        <x:v>Cefrank Kit de barra de luz LED de 4 piezas para exhibición debajo del gabinete, iluminación blanca cálida</x:v>
      </x:c>
      <x:c r="C49" s="4" t="str">
        <x:v>柜下LED灯条套装</x:v>
      </x:c>
      <x:c r="D49" s="4" t="str">
        <x:v>柜下照明</x:v>
      </x:c>
      <x:c r="E49" s="4" t="str">
        <x:v>保留</x:v>
      </x:c>
      <x:c r="F49" s="4" t="str"/>
      <x:c r="G49" s="4" t="str">
        <x:v>3216801</x:v>
      </x:c>
      <x:c r="H49" s="4" t="str">
        <x:v>Barra de luz led Baltimore</x:v>
      </x:c>
      <x:c r="I49" s="4" t="str">
        <x:v>related_type</x:v>
      </x:c>
      <x:c r="J49" s="4" t="str">
        <x:v>销售灯条用于柜下补光，与Action灯条相关；不能推定同供电安装方式</x:v>
      </x:c>
      <x:c r="K49" s="4" t="str">
        <x:v>电源与装配方式未知</x:v>
      </x:c>
      <x:c r="L49" s="4" t="str">
        <x:v>https://www.amazon.es/Juego-barras-para-gabinete-exhibici%C3%B3n/dp/B07MNNZKTR/ref=sr_1_3264?dib=eyJ2IjoiMSJ9.Ph7xU45dAk_RDTI_gwhu9-XPiEXuVN6y0pDrd5Csc4X_sVnrRnpc4zIN-WnlRHltE9UQvzA7_Bxu0vDeBkUZUxlw-G_cX6YjQIdj-SorZE-PS2YLW-kA0myrgPC27izBrM2jHNrtQMrIxRj1kMoEJNSWT4XlYaOBVw0xV0kc26KQ1UE3tfGBUuR_adjh9qqnuU6irV9cZ26flfIeS0Ry3IkH7m5bLgMjjE52-DPFDyzosirFGoTtqDH4RfEYqwaCM4iSdcIuzMBR5eIUuPaFhNP2QUfXxfHRrRmxK2BYQeQ._h8snjbhQ7ja-TF7Ej3fsAYUvY08p__TIuZ5c0kcuxE&amp;dib_tag=se&amp;qid=1792599643&amp;s=kitchen&amp;sr=1-3264&amp;srs=88626813031&amp;xpid=CeuYXw3Vdr0Bg</x:v>
      </x:c>
      <x:c r="M49" s="4" t="str">
        <x:v>B0_84bacc4c6b66_010937</x:v>
      </x:c>
      <x:c r="N49" s="4" t="str">
        <x:v>c3040b5e45d3f7b920897f6b0681ae51e5a7a22a7c9282da6bab9471e2f04f71</x:v>
      </x:c>
      <x:c r="O49" s="8"/>
      <x:c r="P49" s="8"/>
      <x:c r="Q49" s="8"/>
      <x:c r="R49" s="8"/>
    </x:row>
    <x:row r="50" ht="90" customHeight="1">
      <x:c r="A50" s="4" t="str">
        <x:v>P046</x:v>
      </x:c>
      <x:c r="B50" s="4" t="str">
        <x:v>Cuisinart Molinillo de café, uso doméstico, 4-18 tazas, 8 posiciones de molido, Diferentes intensidades de infusión - espresso, cold brew, latte, cappuccino, Fresa Acero Inoxidable</x:v>
      </x:c>
      <x:c r="C50" s="4" t="str">
        <x:v>咖啡研磨器</x:v>
      </x:c>
      <x:c r="D50" s="4" t="str">
        <x:v>研磨咖啡豆</x:v>
      </x:c>
      <x:c r="E50" s="4" t="str">
        <x:v>观察</x:v>
      </x:c>
      <x:c r="F50" s="4" t="str">
        <x:v>经营边界未确认</x:v>
      </x:c>
      <x:c r="G50" s="4" t="str">
        <x:v>3206265</x:v>
      </x:c>
      <x:c r="H50" s="4" t="str">
        <x:v>Molinillo eléctrico de pimienta/sal Tristar</x:v>
      </x:c>
      <x:c r="I50" s="4" t="str">
        <x:v>related_type</x:v>
      </x:c>
      <x:c r="J50" s="4" t="str">
        <x:v>标题多档研磨和磨盘结构支持研磨器，Action调味料电磨只相关不相同</x:v>
      </x:c>
      <x:c r="K50" s="4" t="str">
        <x:v>供电方式和粒度性能未知</x:v>
      </x:c>
      <x:c r="L50" s="4" t="str">
        <x:v>https://www.amazon.es/Cuisinart-Molinillo-posiciones-Diferentes-intensidades/dp/B0DLQKCPLS/ref=sr_1_1494?dib=eyJ2IjoiMSJ9.i9dHG7VUX8gF2rHxly_YTkxMLfV6a7-OJMp-ysML5DTAuaGDnKS7ncQaFPTvxRMebX44stnRSkrcusf1H_IhJl_FOpaCuUBfNj4R5mKuG3ljakTdEQoICPgMcUSPkZhsJzL6LhMfAmqBuj13mFReSYfWKIcerk_Lqab9DLTJUCXKMF_jfgYYyIx4Lqr-bV9zySNI06eDPO7YJAnIISI9nqNKVGJaRWUYi0rrGKyN4a88W7yt8ioeqQ6OBS2kKglJvcliMQUz33KrPjsPC0Astvl-6XgiG6_hLEEIKJf6fY4.Hs-SVSvFVaLsbOLOmrNUXAYfdyevQTbODABC60N4isA&amp;dib_tag=se&amp;qid=1792650059&amp;s=kitchen&amp;sr=1-1494&amp;srs=88626813031&amp;xpid=qpnO31ULD-dQ4</x:v>
      </x:c>
      <x:c r="M50" s="4" t="str">
        <x:v>B0_84bacc4c6b66_005414</x:v>
      </x:c>
      <x:c r="N50" s="4" t="str">
        <x:v>a15ae34a730b8f72c940b94d37b1c2358f96e91616c1dd92dee55138d38f836a</x:v>
      </x:c>
      <x:c r="O50" s="8"/>
      <x:c r="P50" s="8"/>
      <x:c r="Q50" s="8"/>
      <x:c r="R50" s="8"/>
    </x:row>
    <x:row r="51" ht="90" customHeight="1">
      <x:c r="A51" s="4" t="str">
        <x:v>P047</x:v>
      </x:c>
      <x:c r="B51" s="4" t="str">
        <x:v>10PCS Pegatina Pared 3D,Paneles de Pared 3d Para DecoracióN De Paredes Interiores,Papel Pintado de Espuma Autoadhesivo se Utiliza Para La DecoracióN De La Pareds de La Sala de Estar (Blanco)</x:v>
      </x:c>
      <x:c r="C51" s="4" t="str">
        <x:v>自粘立体墙面装饰板</x:v>
      </x:c>
      <x:c r="D51" s="4" t="str">
        <x:v>墙面装饰</x:v>
      </x:c>
      <x:c r="E51" s="4" t="str">
        <x:v>保留</x:v>
      </x:c>
      <x:c r="F51" s="4" t="str"/>
      <x:c r="G51" s="4" t="str">
        <x:v>3222625</x:v>
      </x:c>
      <x:c r="H51" s="4" t="str">
        <x:v>Panel de pared decorativo con relieve</x:v>
      </x:c>
      <x:c r="I51" s="4" t="str">
        <x:v>related_type</x:v>
      </x:c>
      <x:c r="J51" s="4" t="str">
        <x:v>墙面浮雕装饰板与Action浮雕墙板相关，不把泡沫外观推成建筑结构件</x:v>
      </x:c>
      <x:c r="K51" s="4" t="str">
        <x:v>材质安全及粘附未知</x:v>
      </x:c>
      <x:c r="L51" s="4" t="str">
        <x:v>https://www.amazon.es/Olanda-Pegatina-Decoraci%C3%B3N-Interiores-Autoadhesivo/dp/B098P3MMYY?psc=1</x:v>
      </x:c>
      <x:c r="M51" s="4" t="str">
        <x:v>B0_84bacc4c6b66_014681</x:v>
      </x:c>
      <x:c r="N51" s="4" t="str">
        <x:v>47b1d765c092534e6ba21abf2454807b95797de85b542cb873a9f4580810c548</x:v>
      </x:c>
      <x:c r="O51" s="8"/>
      <x:c r="P51" s="8"/>
      <x:c r="Q51" s="8"/>
      <x:c r="R51" s="8"/>
    </x:row>
    <x:row r="52" ht="90" customHeight="1">
      <x:c r="A52" s="4" t="str">
        <x:v>P048</x:v>
      </x:c>
      <x:c r="B52" s="4" t="str">
        <x:v>ecooe Taza de gato Tazas de Café de Cristal 290ml Vasos de Doble Pared con asa y cuchara Borosilicato Bonitas Tazas de Animal Para Latte Macchiato Capuchino, Té, Jugo, Helado (GWKAC03-C)</x:v>
      </x:c>
      <x:c r="C52" s="4" t="str">
        <x:v>双层玻璃咖啡杯</x:v>
      </x:c>
      <x:c r="D52" s="4" t="str">
        <x:v>盛装饮品</x:v>
      </x:c>
      <x:c r="E52" s="4" t="str">
        <x:v>保留</x:v>
      </x:c>
      <x:c r="F52" s="4" t="str"/>
      <x:c r="G52" s="4" t="str">
        <x:v>3218208</x:v>
      </x:c>
      <x:c r="H52" s="4" t="str">
        <x:v>Tazas de café</x:v>
      </x:c>
      <x:c r="I52" s="4" t="str">
        <x:v>same_type</x:v>
      </x:c>
      <x:c r="J52" s="4" t="str">
        <x:v>主体为杯具，猫图案不是宠物商品</x:v>
      </x:c>
      <x:c r="K52" s="4" t="str">
        <x:v>耐热及容量未验证</x:v>
      </x:c>
      <x:c r="L52" s="4" t="str">
        <x:v>https://www.amazon.es/ecooe-Borosilicato-Macchiato-Capuchino-Cumplea%C3%B1os/dp/B0C1NNF243?psc=1</x:v>
      </x:c>
      <x:c r="M52" s="4" t="str">
        <x:v>B0_84bacc4c6b66_023751</x:v>
      </x:c>
      <x:c r="N52" s="4" t="str">
        <x:v>9f10d85435280439086e16284e550a559a92f9f4db674fa282892955ecdfa6a5</x:v>
      </x:c>
      <x:c r="O52" s="8"/>
      <x:c r="P52" s="8"/>
      <x:c r="Q52" s="8"/>
      <x:c r="R52" s="8"/>
    </x:row>
    <x:row r="53" ht="90" customHeight="1">
      <x:c r="A53" s="4" t="str">
        <x:v>P049</x:v>
      </x:c>
      <x:c r="B53" s="4" t="str">
        <x:v>Cofan Válvula de Escuadra con Doble Salida | Medidas: 1/2" x 3/4" x 3/8" | Fabricada en Latón CW617N | Rosca de Entrada a Gas</x:v>
      </x:c>
      <x:c r="C53" s="4" t="str">
        <x:v>双出口角阀</x:v>
      </x:c>
      <x:c r="D53" s="4" t="str">
        <x:v>控制分配管路流体</x:v>
      </x:c>
      <x:c r="E53" s="4" t="str">
        <x:v>观察</x:v>
      </x:c>
      <x:c r="F53" s="4" t="str">
        <x:v>专用或安装配件</x:v>
      </x:c>
      <x:c r="G53" s="4" t="str"/>
      <x:c r="H53" s="4" t="str"/>
      <x:c r="I53" s="4" t="str">
        <x:v>none</x:v>
      </x:c>
      <x:c r="J53" s="4" t="str">
        <x:v>角阀是管路构件；Rosca a Gas描述螺纹而不能据此确定燃气专用</x:v>
      </x:c>
      <x:c r="K53" s="4" t="str">
        <x:v>介质与接口适配未知</x:v>
      </x:c>
      <x:c r="L53" s="4" t="str">
        <x:v>https://www.amazon.es/Cofan-V%C3%A1lvula-Escuadra-Salida-Medidas/dp/B09TWDSWKX?psc=1</x:v>
      </x:c>
      <x:c r="M53" s="4" t="str">
        <x:v>B0_84bacc4c6b66_004785</x:v>
      </x:c>
      <x:c r="N53" s="4" t="str">
        <x:v>8d2b9c7d4ac11fc84866a0a6e3df391c6f0ec72546ef430dbfa73037b5f4940e</x:v>
      </x:c>
      <x:c r="O53" s="8"/>
      <x:c r="P53" s="8"/>
      <x:c r="Q53" s="8"/>
      <x:c r="R53" s="8"/>
    </x:row>
    <x:row r="54" ht="90" customHeight="1">
      <x:c r="A54" s="4" t="str">
        <x:v>P050</x:v>
      </x:c>
      <x:c r="B54" s="4" t="str">
        <x:v>zozen Colector de nueces Rodillo recolector Descarga Lateral (3.79L) | Mango telescópico,2-4cm Tamaño de los objetos,Recoge piñas, Hickory, Castañas, Pelotas golf, Mango ergonómico, Resistente.</x:v>
      </x:c>
      <x:c r="C54" s="4" t="str">
        <x:v>滚轮坚果拾取器</x:v>
      </x:c>
      <x:c r="D54" s="4" t="str">
        <x:v>收集地面坚果和小物</x:v>
      </x:c>
      <x:c r="E54" s="4" t="str">
        <x:v>观察</x:v>
      </x:c>
      <x:c r="F54" s="4" t="str">
        <x:v>缺少有效Action参照</x:v>
      </x:c>
      <x:c r="G54" s="4" t="str"/>
      <x:c r="H54" s="4" t="str"/>
      <x:c r="I54" s="4" t="str">
        <x:v>none</x:v>
      </x:c>
      <x:c r="J54" s="4" t="str">
        <x:v>滚动收集工具不是涂漆滚筒；伸缩杆是结构而非销售主体</x:v>
      </x:c>
      <x:c r="K54" s="4" t="str">
        <x:v>可收物尺寸与效率未知</x:v>
      </x:c>
      <x:c r="L54" s="4" t="str">
        <x:v>https://www.amazon.es/zozen-Colector-Apertura-10789234-cent%C3%ADmetros/dp/B0BGSLD1FX?psc=1</x:v>
      </x:c>
      <x:c r="M54" s="4" t="str">
        <x:v>B0_84bacc4c6b66_025151</x:v>
      </x:c>
      <x:c r="N54" s="4" t="str">
        <x:v>164936afadfd2e6a1e4fb3fe129aa8e533444624544ba6b51876536d62225bea</x:v>
      </x:c>
      <x:c r="O54" s="8"/>
      <x:c r="P54" s="8"/>
      <x:c r="Q54" s="8"/>
      <x:c r="R54" s="8"/>
    </x:row>
    <x:row r="55" ht="90" customHeight="1">
      <x:c r="A55" s="4" t="str">
        <x:v>P051</x:v>
      </x:c>
      <x:c r="B55" s="4" t="str">
        <x:v>ComSaf Botes para especias de cristal 120 ml, pack de 12 con tapas</x:v>
      </x:c>
      <x:c r="C55" s="4" t="str">
        <x:v>带盖调料罐</x:v>
      </x:c>
      <x:c r="D55" s="4" t="str">
        <x:v>储存调味料</x:v>
      </x:c>
      <x:c r="E55" s="4" t="str">
        <x:v>保留</x:v>
      </x:c>
      <x:c r="F55" s="4" t="str"/>
      <x:c r="G55" s="4" t="str">
        <x:v>2582242</x:v>
      </x:c>
      <x:c r="H55" s="4" t="str">
        <x:v>Bote de especias</x:v>
      </x:c>
      <x:c r="I55" s="4" t="str">
        <x:v>same_type</x:v>
      </x:c>
      <x:c r="J55" s="4" t="str">
        <x:v>调料罐主体与Action同类对应，不把盖子当单独售卖主体</x:v>
      </x:c>
      <x:c r="K55" s="4" t="str">
        <x:v>密封与容量未验证</x:v>
      </x:c>
      <x:c r="L55" s="4" t="str">
        <x:v>https://www.amazon.es/ComSaf-herm%C3%A9tica-cuadradas-recipientes-condimentos/dp/B09ZV1983R/ref=sr_1_2724?dib=eyJ2IjoiMSJ9.pNGKvxEWMfFo5xAtTovCkWbRXBDMlD8KTzcAqFp3AzKuEhDvjRhb1-VBKZuJjYhsh-ZGDYRUtlaS9FjZB2A2A_0wjqEGZEt7JS80pcSapzB3VLUsuIv-u4UIfhohV2_lSqnkX5HdgkmC042EH1lHAoQjI_Mq-zohGrEWIM-zGmAiogPH0GxNjNXLBTv7tfaP3jKV0IE0xB9tyji1Cx9cNkfVJSFhEmj-A2YbKiLRkQgz_Q2cEef9LX7pPS54AP6ZXs_KT7cuBD1uWMICu1B68RMVLR8X8KZDest4p-vv0Cs.SySiW9_RvbToIHJkUninH5a9gCQqFpW_eu6tJwIpjO0&amp;dib_tag=se&amp;qid=1792599044&amp;s=kitchen&amp;sr=1-2724&amp;srs=88626813031&amp;xpid=CeuYXw3Vdr0Bg</x:v>
      </x:c>
      <x:c r="M55" s="4" t="str">
        <x:v>B0_84bacc4c6b66_004895</x:v>
      </x:c>
      <x:c r="N55" s="4" t="str">
        <x:v>b174154fa86a4d4d2685f2e21ee25637c5f07181dc0a3aedf7e32a7ba6529648</x:v>
      </x:c>
      <x:c r="O55" s="8"/>
      <x:c r="P55" s="8"/>
      <x:c r="Q55" s="8"/>
      <x:c r="R55" s="8"/>
    </x:row>
    <x:row r="56" ht="90" customHeight="1">
      <x:c r="A56" s="4" t="str">
        <x:v>P052</x:v>
      </x:c>
      <x:c r="B56" s="4" t="str">
        <x:v>GVODE Accesorio picadora de carne para Kitchenaid robot de cocina, incluye 3 cuernos para rellenar salchichas,Accesorios picadora de carne para KitchenAid</x:v>
      </x:c>
      <x:c r="C56" s="4" t="str">
        <x:v>厨师机绞肉附件</x:v>
      </x:c>
      <x:c r="D56" s="4" t="str">
        <x:v>给兼容厨师机增加绞肉功能</x:v>
      </x:c>
      <x:c r="E56" s="4" t="str">
        <x:v>观察</x:v>
      </x:c>
      <x:c r="F56" s="4" t="str">
        <x:v>专用或安装配件</x:v>
      </x:c>
      <x:c r="G56" s="4" t="str"/>
      <x:c r="H56" s="4" t="str"/>
      <x:c r="I56" s="4" t="str">
        <x:v>none</x:v>
      </x:c>
      <x:c r="J56" s="4" t="str">
        <x:v>明确是KitchenAid附件，不是独立绞肉整机</x:v>
      </x:c>
      <x:c r="K56" s="4" t="str">
        <x:v>接口与机型适配未知</x:v>
      </x:c>
      <x:c r="L56" s="4" t="str">
        <x:v>https://www.amazon.es/Accesorio-KitchenAid-mezcladoras-incluido-salchichas/dp/B071V7XJT2/ref=sr_1_2453?dib=eyJ2IjoiMSJ9.wjev1t6TcHN2B_HWnxu_6u6VyBJb0Lgq0HdM9W0KFEkOZCwN3oTYz1bCTyKehEKQruYCLq7tbuXhXc_ito9itA757V-rYCXOASv3J-HgrLVO4MAJUkMWFgZIVSd7ukGptvnZ4DLWTnbmFd6SMSHQQW7wam29WUVWETQ2hnSaWv5fDP2cm_XjtbjuNEOCHXacrSTl8N-NwEM8CZlYctf7t5J0DEaHDxzhajYdG-0uoyIGsW83tekwxlMaZh1n4RMtUssITfnSgcO3E7OYLF0dhlx7o1EzMi8h4AQmUi7y7Lc.vn0fWBqjX1G6tN632oMq8Iipb30NmnXX1uj5rN__3zw&amp;dib_tag=se&amp;qid=1792598761&amp;s=kitchen&amp;sr=1-2453&amp;srs=88626813031&amp;xpid=CeuYXw3Vdr0Bg</x:v>
      </x:c>
      <x:c r="M56" s="4" t="str">
        <x:v>B0_84bacc4c6b66_000659</x:v>
      </x:c>
      <x:c r="N56" s="4" t="str">
        <x:v>06cbbaa365904f15e1e764a15c1ce09d346069d0997da2fa765f3a4ce7cf1dc1</x:v>
      </x:c>
      <x:c r="O56" s="8"/>
      <x:c r="P56" s="8"/>
      <x:c r="Q56" s="8"/>
      <x:c r="R56" s="8"/>
    </x:row>
    <x:row r="57" ht="90" customHeight="1">
      <x:c r="A57" s="4" t="str">
        <x:v>P053</x:v>
      </x:c>
      <x:c r="B57" s="4" t="str">
        <x:v>TopStrong Procesador de Alimentos Multifunción, 800W Robot de Cocina, Compacto, Recipiente de 2L, Incluye 3 Discos de Corte, Picadora, Amasadora y Batidor</x:v>
      </x:c>
      <x:c r="C57" s="4" t="str">
        <x:v>多功能食物料理机</x:v>
      </x:c>
      <x:c r="D57" s="4" t="str">
        <x:v>切碎搅拌和揉和食材</x:v>
      </x:c>
      <x:c r="E57" s="4" t="str">
        <x:v>观察</x:v>
      </x:c>
      <x:c r="F57" s="4" t="str">
        <x:v>经营边界未确认</x:v>
      </x:c>
      <x:c r="G57" s="4" t="str">
        <x:v>3006560</x:v>
      </x:c>
      <x:c r="H57" s="4" t="str">
        <x:v>Picadora Home Essentials</x:v>
      </x:c>
      <x:c r="I57" s="4" t="str">
        <x:v>related_type</x:v>
      </x:c>
      <x:c r="J57" s="4" t="str">
        <x:v>主机有多种加工配件，与Action切碎机仅相关，不由Robot一词推定自主设备</x:v>
      </x:c>
      <x:c r="K57" s="4" t="str">
        <x:v>功能表现与配件清单未知</x:v>
      </x:c>
      <x:c r="L57" s="4" t="str">
        <x:v>https://www.amazon.es/TopStrong-Procesador-Alimentos-Multifunci%C3%B3n-Recipiente/dp/B0H33NS6RS?psc=1</x:v>
      </x:c>
      <x:c r="M57" s="4" t="str">
        <x:v>B0_84bacc4c6b66_020227</x:v>
      </x:c>
      <x:c r="N57" s="4" t="str">
        <x:v>6cd67d182d00e524efb5a34dfc2a0a2869c0d48775085c3f3ffa4735c25b0609</x:v>
      </x:c>
      <x:c r="O57" s="8"/>
      <x:c r="P57" s="8"/>
      <x:c r="Q57" s="8"/>
      <x:c r="R57" s="8"/>
    </x:row>
    <x:row r="58" ht="90" customHeight="1">
      <x:c r="A58" s="4" t="str">
        <x:v>P054</x:v>
      </x:c>
      <x:c r="B58" s="4" t="str">
        <x:v>CUCKOO CR-0675FW Arrocera Micom de 6 tazas (sin cocinar) y 12 tazas (cocinada) con olla interior antiadherente, 13 modos de menú, visualización LCD, tecnología lógica difusa, limpieza automática</x:v>
      </x:c>
      <x:c r="C58" s="4" t="str">
        <x:v>电饭煲</x:v>
      </x:c>
      <x:c r="D58" s="4" t="str">
        <x:v>煮饭</x:v>
      </x:c>
      <x:c r="E58" s="4" t="str">
        <x:v>观察</x:v>
      </x:c>
      <x:c r="F58" s="4" t="str">
        <x:v>经营边界未确认</x:v>
      </x:c>
      <x:c r="G58" s="4" t="str"/>
      <x:c r="H58" s="4" t="str"/>
      <x:c r="I58" s="4" t="str">
        <x:v>none</x:v>
      </x:c>
      <x:c r="J58" s="4" t="str">
        <x:v>Arrocera说明煮饭机器，杯数是容量口径，不是售卖饮水杯</x:v>
      </x:c>
      <x:c r="K58" s="4" t="str">
        <x:v>米量口径和烹饪效果未知</x:v>
      </x:c>
      <x:c r="L58" s="4" t="str">
        <x:v>https://www.amazon.es/CUCKOO-CR-0675F-Arrocera-cocinar-opciones/dp/B08WFNV82W/ref=sr_1_2437?dib=eyJ2IjoiMSJ9.vcG0DiyFrGeyVU3_MrdizBjEGtqbgr_ZmB6-C3z9xtHEtYvqgn2iC-za4sdC7efWmMnATQXQT2X1BOmRZX6bqzb7Ak6vl_n3YCTQ46evLpYgGs1IAYiMm9UHriHfyhj8l7TrT7IJdinNbzzxkGx1Z3rGcBCYki124EBrekLTy7hNPzW8hH27m8JMC-EGcphGqpJbo_M1kTwgOCfes0HQhI040KzcLgCPm3dD3ebKptVgQdVKkEsUWPEJmIEZy7GjCI5pdYCYhVjS4nRPheqxDv5OZFqKC4hB3n6XnD2PHmU.th_boQGstX_cCU_rrtBVSQR3MRwzsI-cfnglWM_aOOQ&amp;dib_tag=se&amp;qid=1792650887&amp;s=kitchen&amp;sr=1-2437&amp;srs=88626813031&amp;xpid=qpnO31ULD-dQ4</x:v>
      </x:c>
      <x:c r="M58" s="4" t="str">
        <x:v>B0_84bacc4c6b66_003870</x:v>
      </x:c>
      <x:c r="N58" s="4" t="str">
        <x:v>4f8a6f59122f407aa2bedded731e2212da38e32554382b310ebf66a91c92d250</x:v>
      </x:c>
      <x:c r="O58" s="8"/>
      <x:c r="P58" s="8"/>
      <x:c r="Q58" s="8"/>
      <x:c r="R58" s="8"/>
    </x:row>
    <x:row r="59" ht="90" customHeight="1">
      <x:c r="A59" s="4" t="str">
        <x:v>P055</x:v>
      </x:c>
      <x:c r="B59" s="4" t="str">
        <x:v>Escalfador de huevos de microondas de doble cavidad，Negro | Nueva cocedor de huevos para microondas: escalfador rápido y sin aceite, un utensilio de cocina versátil e imprescindible</x:v>
      </x:c>
      <x:c r="C59" s="4" t="str">
        <x:v>微波炉用煮蛋容器</x:v>
      </x:c>
      <x:c r="D59" s="4" t="str">
        <x:v>在微波炉中烹调鸡蛋</x:v>
      </x:c>
      <x:c r="E59" s="4" t="str">
        <x:v>观察</x:v>
      </x:c>
      <x:c r="F59" s="4" t="str">
        <x:v>缺少有效Action参照</x:v>
      </x:c>
      <x:c r="G59" s="4" t="str"/>
      <x:c r="H59" s="4" t="str"/>
      <x:c r="I59" s="4" t="str">
        <x:v>none</x:v>
      </x:c>
      <x:c r="J59" s="4" t="str">
        <x:v>这是借助微波炉使用的器具，不是独立电煮蛋机；无具体Action同类参照</x:v>
      </x:c>
      <x:c r="K59" s="4" t="str">
        <x:v>材料及微波安全未知</x:v>
      </x:c>
      <x:c r="L59" s="4" t="str">
        <x:v>https://www.amazon.es/Escalfador-huevos-microondas-cavidad%EF%BC%8CNegro-cocedor/dp/B0HKNMNC19?psc=1</x:v>
      </x:c>
      <x:c r="M59" s="4" t="str">
        <x:v>B0_84bacc4c6b66_007066</x:v>
      </x:c>
      <x:c r="N59" s="4" t="str">
        <x:v>8718691eafa3f478430efa2f80939a4b3a377d6edf60234c22adfc9c462884e3</x:v>
      </x:c>
      <x:c r="O59" s="8"/>
      <x:c r="P59" s="8"/>
      <x:c r="Q59" s="8"/>
      <x:c r="R59" s="8"/>
    </x:row>
    <x:row r="60" ht="90" customHeight="1">
      <x:c r="A60" s="4" t="str">
        <x:v>P056</x:v>
      </x:c>
      <x:c r="B60" s="4" t="str">
        <x:v>CREVICOSTA QUALITY MARK MARCAS DE CALIDAD - Estantería sobre Inodoro WC - 160 x 50 x 26 cm (Blanco)</x:v>
      </x:c>
      <x:c r="C60" s="4" t="str">
        <x:v>马桶上方置物架</x:v>
      </x:c>
      <x:c r="D60" s="4" t="str">
        <x:v>浴室储物</x:v>
      </x:c>
      <x:c r="E60" s="4" t="str">
        <x:v>观察</x:v>
      </x:c>
      <x:c r="F60" s="4" t="str">
        <x:v>经营边界未确认</x:v>
      </x:c>
      <x:c r="G60" s="4" t="str">
        <x:v>3217044</x:v>
      </x:c>
      <x:c r="H60" s="4" t="str">
        <x:v>Estantería de baño</x:v>
      </x:c>
      <x:c r="I60" s="4" t="str">
        <x:v>related_type</x:v>
      </x:c>
      <x:c r="J60" s="4" t="str">
        <x:v>完整高架属于家具，马桶是摆放位置，Action浴室架为相关参照</x:v>
      </x:c>
      <x:c r="K60" s="4" t="str">
        <x:v>安装承重及适配空间未知</x:v>
      </x:c>
      <x:c r="L60" s="4" t="str">
        <x:v>https://www.amazon.es/CREVICOSTA-QUALITY-MARK-MARCAS-CALIDAD/dp/B0HJW5DXG9?psc=1</x:v>
      </x:c>
      <x:c r="M60" s="4" t="str">
        <x:v>B0_84bacc4c6b66_003857</x:v>
      </x:c>
      <x:c r="N60" s="4" t="str">
        <x:v>f43c976ccdd663b288c86c1543b79cd56b2fb1189371b015d016691c8fc3e233</x:v>
      </x:c>
      <x:c r="O60" s="8"/>
      <x:c r="P60" s="8"/>
      <x:c r="Q60" s="8"/>
      <x:c r="R60" s="8"/>
    </x:row>
    <x:row r="61" ht="90" customHeight="1">
      <x:c r="A61" s="4" t="str">
        <x:v>P057</x:v>
      </x:c>
      <x:c r="B61" s="4" t="str">
        <x:v>Molinillo de café manual, molinillo de granos de café, estilo retro, hierro fundido, manivela de madera, 17,5 x 10,5 x 10,5 cm</x:v>
      </x:c>
      <x:c r="C61" s="4" t="str">
        <x:v>手摇咖啡研磨器</x:v>
      </x:c>
      <x:c r="D61" s="4" t="str">
        <x:v>研磨咖啡豆</x:v>
      </x:c>
      <x:c r="E61" s="4" t="str">
        <x:v>保留</x:v>
      </x:c>
      <x:c r="F61" s="4" t="str"/>
      <x:c r="G61" s="4" t="str">
        <x:v>3222640</x:v>
      </x:c>
      <x:c r="H61" s="4" t="str">
        <x:v>Molinillo de especias</x:v>
      </x:c>
      <x:c r="I61" s="4" t="str">
        <x:v>related_type</x:v>
      </x:c>
      <x:c r="J61" s="4" t="str">
        <x:v>手摇研磨器与调味料研磨器具体加工机制相关，不能推定相同研磨精度</x:v>
      </x:c>
      <x:c r="K61" s="4" t="str">
        <x:v>材质和粒度效果未验证</x:v>
      </x:c>
      <x:c r="L61" s="4" t="str">
        <x:v>https://www.amazon.es/Molinillo-manual-molinillo-fundido-manivela/dp/B0CQTF5Y1R?psc=1</x:v>
      </x:c>
      <x:c r="M61" s="4" t="str">
        <x:v>B0_84bacc4c6b66_013635</x:v>
      </x:c>
      <x:c r="N61" s="4" t="str">
        <x:v>3a517796489c2c957b09cd9dc91569834b13c9b854071c4b178d1417203b0da1</x:v>
      </x:c>
      <x:c r="O61" s="8"/>
      <x:c r="P61" s="8"/>
      <x:c r="Q61" s="8"/>
      <x:c r="R61" s="8"/>
    </x:row>
    <x:row r="62" ht="90" customHeight="1">
      <x:c r="A62" s="4" t="str">
        <x:v>P058</x:v>
      </x:c>
      <x:c r="B62" s="4" t="str">
        <x:v>Black+Decker Aspiradora de Mano Dustbuster sin Cable 7,2 V, NVC215W-QW</x:v>
      </x:c>
      <x:c r="C62" s="4" t="str">
        <x:v>无线手持吸尘器</x:v>
      </x:c>
      <x:c r="D62" s="4" t="str">
        <x:v>局部吸尘</x:v>
      </x:c>
      <x:c r="E62" s="4" t="str">
        <x:v>保留</x:v>
      </x:c>
      <x:c r="F62" s="4" t="str"/>
      <x:c r="G62" s="4" t="str">
        <x:v>3218132</x:v>
      </x:c>
      <x:c r="H62" s="4" t="str">
        <x:v>Aspirador de mano inalámbrico Dirt Devil</x:v>
      </x:c>
      <x:c r="I62" s="4" t="str">
        <x:v>same_type</x:v>
      </x:c>
      <x:c r="J62" s="4" t="str">
        <x:v>手持无线吸尘器明确，有同类Action参照</x:v>
      </x:c>
      <x:c r="K62" s="4" t="str">
        <x:v>续航与吸力未验证</x:v>
      </x:c>
      <x:c r="L62" s="4" t="str">
        <x:v>https://www.amazon.es/Black-Decker-NVC215W-QW-Aspiradora-inal%C3%A1mbrica/dp/B07L6MQSG3/ref=sr_1_1170_mod_primary_new?dib=eyJ2IjoiMSJ9.7zQgdr-RvOa4mbtUM4bHraqZgVmqFVDeb0QmPbQ0_R1_LT1nKPJgFlcz5Y8SbYPRP-sN36hWYzWR_dLoZTk4kNXU14_q7h9qFQhXov8wuuQ8cZLu9tDRRXBo67umgIpoD0C6O5xOz8w710jNnpwJ115DxhA_RX_-i9Lt3SzFnTpdzkqY120UVAzEXlUI3Xnrn7WOMpt4chEGlIo7hSRpP3kMZxNhze_0QkYaeI7WBIAGOri8-SfjlAOG3iAErl4wYzfsPqcOS7qRu9BX9L7xVnCWGjc1NUvWM4SHy46FCz0.ap9HSpqjWEVXerlj4w7HhKhY5cLArw6dILD0fC1eWcw&amp;dib_tag=se&amp;qid=1792649790&amp;s=kitchen&amp;sbo=RZvfv%2F%2FHxDF%2BO5021pAnSA%3D%3D&amp;sr=1-1170&amp;srs=88626813031&amp;xpid=qpnO31ULD-dQ4</x:v>
      </x:c>
      <x:c r="M62" s="4" t="str">
        <x:v>B0_84bacc4c6b66_002910</x:v>
      </x:c>
      <x:c r="N62" s="4" t="str">
        <x:v>ed66b99a8f832b430f6604f5fa92499a9ce9a4d45438a8ad77198d41f8044bf8</x:v>
      </x:c>
      <x:c r="O62" s="8"/>
      <x:c r="P62" s="8"/>
      <x:c r="Q62" s="8"/>
      <x:c r="R62" s="8"/>
    </x:row>
    <x:row r="63" ht="90" customHeight="1">
      <x:c r="A63" s="4" t="str">
        <x:v>P059</x:v>
      </x:c>
      <x:c r="B63" s="4" t="str">
        <x:v>Premo argilla 8oz/Pkg-Bianco</x:v>
      </x:c>
      <x:c r="C63" s="4" t="str">
        <x:v>黏土材料</x:v>
      </x:c>
      <x:c r="D63" s="4" t="str">
        <x:v>塑形用途候选</x:v>
      </x:c>
      <x:c r="E63" s="4" t="str">
        <x:v>保留</x:v>
      </x:c>
      <x:c r="F63" s="4" t="str"/>
      <x:c r="G63" s="4" t="str">
        <x:v>2527108</x:v>
      </x:c>
      <x:c r="H63" s="4" t="str">
        <x:v>Arcilla para moldear Creall Do &amp; Dry</x:v>
      </x:c>
      <x:c r="I63" s="4" t="str">
        <x:v>related_type</x:v>
      </x:c>
      <x:c r="J63" s="4" t="str">
        <x:v>意大利语argilla明确黏土，不凭Premo品牌推定聚合物配方或烘烤方法</x:v>
      </x:c>
      <x:c r="K63" s="4" t="str">
        <x:v>固化方式及成分未知</x:v>
      </x:c>
      <x:c r="L63" s="4" t="str">
        <x:v>https://www.amazon.es/Polyform-Premo-argilla-8oz-Pkg-Bianco/dp/B007QNEF3C/ref=sr_1_1981?dib=eyJ2IjoiMSJ9.zMiUqKPnSXoXogT6i_WjjahoUpyA_41EtQmayAVISYTSisQuWvt_EmxAL90sMopSQ-WJCgUriY2bH9G6AklrO_b4U4oD18qfJCF2F0BXAKNCtf7oKHXrbwcP8DeyzpJyv89HzO-7OnNhRa4jgV32bEh2Q7EplOX1i02alzjrZYnLu-0jCRTeN4wOlMv_oVt7i8O09l_uhXi1Q5ZECzkMIs4ISJEBb7thtm2evUcPGlmJ-twO7TGOkYk6G6-snfDJWnxmwUGq4H5TFFrwLceT_Euz_3guCTFLbJVj_-NLTtU.F5rYXnbTnyf1PVjJksvvi3xQ9vesltlCDHas3pYD2ak&amp;dib_tag=se&amp;qid=1792650480&amp;s=kitchen&amp;sr=1-1981&amp;srs=88626813031&amp;xpid=qpnO31ULD-dQ4</x:v>
      </x:c>
      <x:c r="M63" s="4" t="str">
        <x:v>B0_84bacc4c6b66_016031</x:v>
      </x:c>
      <x:c r="N63" s="4" t="str">
        <x:v>43ec6491b91c197259057f5e3928be19b31d06aabbbbf1e572e4357140c6750d</x:v>
      </x:c>
      <x:c r="O63" s="8"/>
      <x:c r="P63" s="8"/>
      <x:c r="Q63" s="8"/>
      <x:c r="R63" s="8"/>
    </x:row>
    <x:row r="64" ht="90" customHeight="1">
      <x:c r="A64" s="4" t="str">
        <x:v>P060</x:v>
      </x:c>
      <x:c r="B64" s="4" t="str">
        <x:v>Hayaww Tablero De Macramé 18×18cm Con Pines E Instrucciones - Reutilizable Para Trenzar Pulseras, Hilo De Nudo, Bufandas - Proyecto De Macramé</x:v>
      </x:c>
      <x:c r="C64" s="4" t="str">
        <x:v>绳结编织定位板</x:v>
      </x:c>
      <x:c r="D64" s="4" t="str">
        <x:v>固定线材进行编结</x:v>
      </x:c>
      <x:c r="E64" s="4" t="str">
        <x:v>观察</x:v>
      </x:c>
      <x:c r="F64" s="4" t="str">
        <x:v>缺少有效Action参照</x:v>
      </x:c>
      <x:c r="G64" s="4" t="str"/>
      <x:c r="H64" s="4" t="str"/>
      <x:c r="I64" s="4" t="str">
        <x:v>none</x:v>
      </x:c>
      <x:c r="J64" s="4" t="str">
        <x:v>编结板是工具，macramé线材不是同类工具；不强配宽泛材料</x:v>
      </x:c>
      <x:c r="K64" s="4" t="str">
        <x:v>定位孔和附件未知</x:v>
      </x:c>
      <x:c r="L64" s="4" t="str">
        <x:v>https://www.amazon.es/Hayaww-Reutilizable-Instrucciones-Trenzado-Proyecto/dp/B0CQCDT4BN?psc=1</x:v>
      </x:c>
      <x:c r="M64" s="4" t="str">
        <x:v>B0_84bacc4c6b66_009531</x:v>
      </x:c>
      <x:c r="N64" s="4" t="str">
        <x:v>9a926af7a26ae4b062db08504a919649bbc88e6848bbc5a16f14b16492e33e15</x:v>
      </x:c>
      <x:c r="O64" s="8"/>
      <x:c r="P64" s="8"/>
      <x:c r="Q64" s="8"/>
      <x:c r="R64" s="8"/>
    </x:row>
    <x:row r="65" ht="90" customHeight="1">
      <x:c r="A65" s="4" t="str">
        <x:v>P061</x:v>
      </x:c>
      <x:c r="B65" s="4" t="str">
        <x:v>Bolígrafo para Hilo de Cera, Herramienta Portátil de Tungsteno con Indicación de Seguridad, para Quemar Hilo de Calor Rápido, Rotura de Hilo y Transferencia</x:v>
      </x:c>
      <x:c r="C65" s="4" t="str">
        <x:v>热熔断线笔</x:v>
      </x:c>
      <x:c r="D65" s="4" t="str">
        <x:v>热切处理线头</x:v>
      </x:c>
      <x:c r="E65" s="4" t="str">
        <x:v>观察</x:v>
      </x:c>
      <x:c r="F65" s="4" t="str">
        <x:v>经营边界未确认</x:v>
      </x:c>
      <x:c r="G65" s="4" t="str"/>
      <x:c r="H65" s="4" t="str"/>
      <x:c r="I65" s="4" t="str">
        <x:v>none</x:v>
      </x:c>
      <x:c r="J65" s="4" t="str">
        <x:v>烧线及快速热切语境指工具，不能按Bolígrafo匹配书写笔</x:v>
      </x:c>
      <x:c r="K65" s="4" t="str">
        <x:v>电源、温度和操作安全未知</x:v>
      </x:c>
      <x:c r="L65" s="4" t="str">
        <x:v>https://www.amazon.es/Bol%C3%ADgrafo-Herramienta-Tungsteno-Indicaci%C3%B3n-Transferencia/dp/B0D9K8P7MJ?psc=1</x:v>
      </x:c>
      <x:c r="M65" s="4" t="str">
        <x:v>B0_84bacc4c6b66_003034</x:v>
      </x:c>
      <x:c r="N65" s="4" t="str">
        <x:v>9697b4daf7c6eb9b35ef2c136de783f943ba2e9a26c617924aed1ff403ad2198</x:v>
      </x:c>
      <x:c r="O65" s="8"/>
      <x:c r="P65" s="8"/>
      <x:c r="Q65" s="8"/>
      <x:c r="R65" s="8"/>
    </x:row>
    <x:row r="66" ht="90" customHeight="1">
      <x:c r="A66" s="4" t="str">
        <x:v>P062</x:v>
      </x:c>
      <x:c r="B66" s="4" t="str">
        <x:v>Olietta - Aceitera antigoteo tipo botella de cristal a prueba de fugas 500ml / 0,5 litros - Aceitera de cristal ideal para verter y rociar aceite de oliva, vinagre, etc. - Fácil de limpiar</x:v>
      </x:c>
      <x:c r="C66" s="4" t="str">
        <x:v>玻璃油醋壶</x:v>
      </x:c>
      <x:c r="D66" s="4" t="str">
        <x:v>分配食用油或醋</x:v>
      </x:c>
      <x:c r="E66" s="4" t="str">
        <x:v>保留</x:v>
      </x:c>
      <x:c r="F66" s="4" t="str"/>
      <x:c r="G66" s="4" t="str">
        <x:v>3218089</x:v>
      </x:c>
      <x:c r="H66" s="4" t="str">
        <x:v>Aceitera y vinagrera</x:v>
      </x:c>
      <x:c r="I66" s="4" t="str">
        <x:v>same_type</x:v>
      </x:c>
      <x:c r="J66" s="4" t="str">
        <x:v>主体为油醋容器，Action油醋壶有真实同类；原先对其他喷瓶的人工决定不泛化到本条</x:v>
      </x:c>
      <x:c r="K66" s="4" t="str">
        <x:v>防漏和接触安全未知</x:v>
      </x:c>
      <x:c r="L66" s="4" t="str">
        <x:v>https://www.amazon.es/Olietta-Aceitera-Antigoteo-Botella-Cristal/dp/B088KG5G1T?psc=1</x:v>
      </x:c>
      <x:c r="M66" s="4" t="str">
        <x:v>B0_84bacc4c6b66_014684</x:v>
      </x:c>
      <x:c r="N66" s="4" t="str">
        <x:v>bd025eb44f32d83099a62382d6ef764160b22b1e8075c72d99825e080c29d487</x:v>
      </x:c>
      <x:c r="O66" s="8"/>
      <x:c r="P66" s="8"/>
      <x:c r="Q66" s="8"/>
      <x:c r="R66" s="8"/>
    </x:row>
    <x:row r="67" ht="90" customHeight="1">
      <x:c r="A67" s="4" t="str">
        <x:v>P063</x:v>
      </x:c>
      <x:c r="B67" s="4" t="str">
        <x:v>WMF Nuova Juego 2 Cuchillos para Fruta, Acero Inoxidable Pulido, 19.4 x 3.6 x 2.2 cm</x:v>
      </x:c>
      <x:c r="C67" s="4" t="str">
        <x:v>水果刀套装</x:v>
      </x:c>
      <x:c r="D67" s="4" t="str">
        <x:v>切分水果</x:v>
      </x:c>
      <x:c r="E67" s="4" t="str">
        <x:v>保留</x:v>
      </x:c>
      <x:c r="F67" s="4" t="str"/>
      <x:c r="G67" s="4" t="str">
        <x:v>3016464</x:v>
      </x:c>
      <x:c r="H67" s="4" t="str">
        <x:v>Juego de cuchillos de cocina Redstone</x:v>
      </x:c>
      <x:c r="I67" s="4" t="str">
        <x:v>related_type</x:v>
      </x:c>
      <x:c r="J67" s="4" t="str">
        <x:v>水果刀与厨房刀属于相关刀具用途，尺寸不等于相同型号</x:v>
      </x:c>
      <x:c r="K67" s="4" t="str">
        <x:v>锋利和接触安全未知</x:v>
      </x:c>
      <x:c r="L67" s="4" t="str">
        <x:v>https://www.amazon.es/WMF-1291676042-Cuchillo-Fruta-Nuova/dp/B00YDZ0HFQ/ref=sr_1_3938?dib=eyJ2IjoiMSJ9.x9pjlypak9z__9hc4TGLSFYsuGt2F86otYaU1GXCpBAFpx9TNzzOPKOz0oH235EOBC5uf_itrPq7R3MOCQjvVDeoqOspKX50bFoF6Tz4kdC8gpZ4VKQHpjpgmEhchtAugDMXvZwlzAso_J-6Xf8fZG8yh7zc1W9lcIlmt3nSgRdm7N9BtiUGZDehS0slEtfY8mNllVSeAP7dcVbN_SxRKZS3CUm8cReKLvA0Z53hqs5pF_lnYukkxDlfHI2vv78AqMfxCk_YvDcsu94L-cqOHf8-p5SytjkYnAB5iaI_YlY.A-GkJ9YARPrLTL4iLCx2FCt5c9nHzW-JDzivKAUIJCc&amp;dib_tag=se&amp;qid=1792600503&amp;s=kitchen&amp;sr=1-3938&amp;srs=88626813031&amp;xpid=CeuYXw3Vdr0Bg</x:v>
      </x:c>
      <x:c r="M67" s="4" t="str">
        <x:v>B0_84bacc4c6b66_021757</x:v>
      </x:c>
      <x:c r="N67" s="4" t="str">
        <x:v>3d7e270e9cc95c911da22d6a9575dcda7b7bb7a93288d8f4996bb90013830df1</x:v>
      </x:c>
      <x:c r="O67" s="8"/>
      <x:c r="P67" s="8"/>
      <x:c r="Q67" s="8"/>
      <x:c r="R67" s="8"/>
    </x:row>
    <x:row r="68" ht="90" customHeight="1">
      <x:c r="A68" s="4" t="str">
        <x:v>P064</x:v>
      </x:c>
      <x:c r="B68" s="4" t="str">
        <x:v>Juguete Spinner de Divertidos Juguetes Educativos para Baño y Motricidad | Spinner Infantil de Avión con para Mesa Comedor Para Niños y Niñas, Mesa, Trona, Viaje y Cumpleaños</x:v>
      </x:c>
      <x:c r="C68" s="4" t="str">
        <x:v>旋转玩法儿童玩具</x:v>
      </x:c>
      <x:c r="D68" s="4" t="str">
        <x:v>儿童转动操作玩耍</x:v>
      </x:c>
      <x:c r="E68" s="4" t="str">
        <x:v>保留</x:v>
      </x:c>
      <x:c r="F68" s="4" t="str"/>
      <x:c r="G68" s="4" t="str">
        <x:v>3212071</x:v>
      </x:c>
      <x:c r="H68" s="4" t="str">
        <x:v>Juguetes de baño flotantes</x:v>
      </x:c>
      <x:c r="I68" s="4" t="str">
        <x:v>related_type</x:v>
      </x:c>
      <x:c r="J68" s="4" t="str">
        <x:v>标题有浴用及儿童场景，Action浴玩具为相关类型，但不证明漂浮或吸盘结构</x:v>
      </x:c>
      <x:c r="K68" s="4" t="str">
        <x:v>玩法结构和适龄未知</x:v>
      </x:c>
      <x:c r="L68" s="4" t="str">
        <x:v>https://www.amazon.es/Juguete-Divertidos-Juguetes-Educativos-Motricidad/dp/B0HJ6HJMMW?psc=1</x:v>
      </x:c>
      <x:c r="M68" s="4" t="str">
        <x:v>B0_84bacc4c6b66_010966</x:v>
      </x:c>
      <x:c r="N68" s="4" t="str">
        <x:v>82446a4c6752e32da7ba5ded0a94a383c7587c8d82ac3024e51eaefdb5890ed9</x:v>
      </x:c>
      <x:c r="O68" s="8"/>
      <x:c r="P68" s="8"/>
      <x:c r="Q68" s="8"/>
      <x:c r="R68" s="8"/>
    </x:row>
    <x:row r="69" ht="90" customHeight="1">
      <x:c r="A69" s="4" t="str">
        <x:v>P065</x:v>
      </x:c>
      <x:c r="B69" s="4" t="str">
        <x:v>Pyrex® Fuente Cuadrada Vidrio Prepware de Boro 20x17cm -1l</x:v>
      </x:c>
      <x:c r="C69" s="4" t="str">
        <x:v>方形玻璃料理盘</x:v>
      </x:c>
      <x:c r="D69" s="4" t="str">
        <x:v>盛装食物</x:v>
      </x:c>
      <x:c r="E69" s="4" t="str">
        <x:v>保留</x:v>
      </x:c>
      <x:c r="F69" s="4" t="str"/>
      <x:c r="G69" s="4" t="str">
        <x:v>3204547</x:v>
      </x:c>
      <x:c r="H69" s="4" t="str">
        <x:v>Fuente para horno Luminarc</x:v>
      </x:c>
      <x:c r="I69" s="4" t="str">
        <x:v>related_type</x:v>
      </x:c>
      <x:c r="J69" s="4" t="str">
        <x:v>方形玻璃盘是容器，不是喷泉；Action烤盘相关但未验证本品耐热</x:v>
      </x:c>
      <x:c r="K69" s="4" t="str">
        <x:v>烘烤适用及耐热未知</x:v>
      </x:c>
      <x:c r="L69" s="4" t="str">
        <x:v>https://www.amazon.es/PYREX-PREPWARE-Fuente-Cuadrada-20X17Cm/dp/B0DN1HXF9B/ref=sr_1_89?dib=eyJ2IjoiMSJ9.lSQE_qun0vVsgzjQBW7_mlhwNo6aNENSOBijzjnmhBffSLd8fcr2GpSvO3dYgFq4rD6LjPOfzGbT0yDC-lBt2h70dxpmlaW_Gh769NNC8hG6NJFbxcmcJPriG1VhAb9RvSaBANNgMcqeAZIm1BuKYqfFP5jyAt5SBQd9TZ6Ngux0k0862ChLgCnXoFR-7jCQHF4nFY0_eCao9SaO-6kWUZFMGAX_9vMhnB2aioDgL06QAAbVa6k50Ero_JBidEX7WkDiLYAcomvS4PNMLIouT4t1dlvqBBzyca_cnLSQm2Q.GviPlGg1oZFz2D8UKbuqwMW1Q507i7fI9Oc72oATONw&amp;dib_tag=se&amp;qid=1792596342&amp;s=kitchen&amp;sr=1-89&amp;srs=88626813031&amp;xpid=CeuYXw3Vdr0Bg</x:v>
      </x:c>
      <x:c r="M69" s="4" t="str">
        <x:v>B0_84bacc4c6b66_015231</x:v>
      </x:c>
      <x:c r="N69" s="4" t="str">
        <x:v>b5b639331401d790d42d2e04c55591afb241f3a0c4cd816bf2acd07c99cae5b3</x:v>
      </x:c>
      <x:c r="O69" s="8"/>
      <x:c r="P69" s="8"/>
      <x:c r="Q69" s="8"/>
      <x:c r="R69" s="8"/>
    </x:row>
    <x:row r="70" ht="90" customHeight="1">
      <x:c r="A70" s="4" t="str">
        <x:v>P066</x:v>
      </x:c>
      <x:c r="B70" s="4" t="str">
        <x:v>Grupo Erik Galletero Snoopy Peanuts - Tarro cerámica XL, Tarro galletas</x:v>
      </x:c>
      <x:c r="C70" s="4" t="str">
        <x:v>饼干储存罐</x:v>
      </x:c>
      <x:c r="D70" s="4" t="str">
        <x:v>保存饼干</x:v>
      </x:c>
      <x:c r="E70" s="4" t="str">
        <x:v>保留</x:v>
      </x:c>
      <x:c r="F70" s="4" t="str"/>
      <x:c r="G70" s="4" t="str">
        <x:v>3015884</x:v>
      </x:c>
      <x:c r="H70" s="4" t="str">
        <x:v>Tarro de despensa</x:v>
      </x:c>
      <x:c r="I70" s="4" t="str">
        <x:v>related_type</x:v>
      </x:c>
      <x:c r="J70" s="4" t="str">
        <x:v>饼干罐与Action储物罐为相关食品容器，Snoopy为主题</x:v>
      </x:c>
      <x:c r="K70" s="4" t="str">
        <x:v>密封与授权未知</x:v>
      </x:c>
      <x:c r="L70" s="4" t="str">
        <x:v>https://www.amazon.es/Grupo-Erik-Galletero-Snoopy-Almacenaje/dp/B0CHS6DQT3/ref=sr_1_2234?dib=eyJ2IjoiMSJ9.sJ_62h5AxAVwl4wdrQ1l2seJVCiV5OLpQJiQvP0BwIvRlc5Os3TGcDucHBvQbgYoaTG4KwICXAyaa7n-rvm5ERjsCUD4ZoPdVEgkIu1EzauzQRiPNFiXaOJahiOOPo4CWo_PEL2clxTHXPG8yi7TGCkvD7Qxfu2Z3zG9AGZ4-P9HiyxsiChYXx_A0DE9GPJW_tODSZr3-CuFycgtVx6TGiUnYFhBWuNmdUq3mbIAIOSIXrPtUDXeqdYGjhTBl7ZDZ7gu0TqYd3WVYLlgxYHsfCkasOhm8on7VVhrLCWX7uw.pcejpH7dh9C-iQ3pjCWQI9hXP9Q_mOM5kWFBLFHcbNo&amp;dib_tag=se&amp;qid=1792650705&amp;s=kitchen&amp;sr=1-2234&amp;srs=88626813031&amp;xpid=qpnO31ULD-dQ4</x:v>
      </x:c>
      <x:c r="M70" s="4" t="str">
        <x:v>B0_84bacc4c6b66_008812</x:v>
      </x:c>
      <x:c r="N70" s="4" t="str">
        <x:v>be4fa7a824b571c6af08a0b333e2be38cf4b8b446c68b8652bff4063c05e1aef</x:v>
      </x:c>
      <x:c r="O70" s="8"/>
      <x:c r="P70" s="8"/>
      <x:c r="Q70" s="8"/>
      <x:c r="R70" s="8"/>
    </x:row>
    <x:row r="71" ht="90" customHeight="1">
      <x:c r="A71" s="4" t="str">
        <x:v>P067</x:v>
      </x:c>
      <x:c r="B71" s="4" t="str">
        <x:v>Russell Hobbs Olla de Cocción Lenta Cook@Home - Capacidad 3,5 L, 4 Raciones, 3 Temperaturas, Cuerpo de Acero Inoxidable, Cazuela Extraíble, Fácil Limpieza, Tapa de Cristal, Plata - 22740-56</x:v>
      </x:c>
      <x:c r="C71" s="4" t="str">
        <x:v>慢炖锅</x:v>
      </x:c>
      <x:c r="D71" s="4" t="str">
        <x:v>慢速炖煮食物</x:v>
      </x:c>
      <x:c r="E71" s="4" t="str">
        <x:v>观察</x:v>
      </x:c>
      <x:c r="F71" s="4" t="str">
        <x:v>经营边界未确认</x:v>
      </x:c>
      <x:c r="G71" s="4" t="str">
        <x:v>3007590</x:v>
      </x:c>
      <x:c r="H71" s="4" t="str">
        <x:v>Olla con tapa de cristal Sola</x:v>
      </x:c>
      <x:c r="I71" s="4" t="str">
        <x:v>category_only</x:v>
      </x:c>
      <x:c r="J71" s="4" t="str">
        <x:v>可调温慢炖机与普通锅只有烹饪容器大类关联，不能当同类电器</x:v>
      </x:c>
      <x:c r="K71" s="4" t="str">
        <x:v>电源及温控性能未验证</x:v>
      </x:c>
      <x:c r="L71" s="4" t="str">
        <x:v>https://www.amazon.es/Russell-Hobbs-Cook-Home-22740-56/dp/B019DWKF0A/ref=sr_1_4132?dib=eyJ2IjoiMSJ9.P32wWu2hXDRI7HfQmbwgjcCubfkVfzuBr9lRngJ-Y35F1Q9xknRdDTB24aXczqPcylvZidp1c91t9musptzonLBsP5SdEPEei2Vqo2uitzUw4cFW0Vw5uztjw9MnjKVO8uoZLkqPC4RetvbRztaEQqWsg6K3FqWCSxcIzJOZGbzlRrbiWvSmZlBb7IlW7KkVtj2b8NAZMn3r8JTAopz_ekOOhDoWHVT34vOYhTxEz71muOuxzW3aCPiVOK8GUkFJ8b4Hg6sUqiKAi3ihKneFdcZ6jbmBRSOfLPgYvNEsUxY.Z8M4qbahMQLS3s7qyHt2AYvAP-uI3lkic2U7V-hnKrY&amp;dib_tag=se&amp;qid=1792653144&amp;s=kitchen&amp;sr=1-4132&amp;srs=88626813031&amp;xpid=qpnO31ULD-dQ4</x:v>
      </x:c>
      <x:c r="M71" s="4" t="str">
        <x:v>B0_84bacc4c6b66_017596</x:v>
      </x:c>
      <x:c r="N71" s="4" t="str">
        <x:v>32326c44bbe918b56a5730998abd7a5fd57545b0ac8ae4298a6c8724cf001d77</x:v>
      </x:c>
      <x:c r="O71" s="8"/>
      <x:c r="P71" s="8"/>
      <x:c r="Q71" s="8"/>
      <x:c r="R71" s="8"/>
    </x:row>
    <x:row r="72" ht="90" customHeight="1">
      <x:c r="A72" s="4" t="str">
        <x:v>P068</x:v>
      </x:c>
      <x:c r="B72" s="4" t="str">
        <x:v>Timbertech - ABPST01 - Kit de aerógrafo - Incluye Adaptador, Manguera, boquillas y Agujas</x:v>
      </x:c>
      <x:c r="C72" s="4" t="str">
        <x:v>喷笔套装</x:v>
      </x:c>
      <x:c r="D72" s="4" t="str">
        <x:v>精细喷涂</x:v>
      </x:c>
      <x:c r="E72" s="4" t="str">
        <x:v>观察</x:v>
      </x:c>
      <x:c r="F72" s="4" t="str">
        <x:v>经营边界未确认</x:v>
      </x:c>
      <x:c r="G72" s="4" t="str"/>
      <x:c r="H72" s="4" t="str"/>
      <x:c r="I72" s="4" t="str">
        <x:v>none</x:v>
      </x:c>
      <x:c r="J72" s="4" t="str">
        <x:v>喷笔和喷嘴针、软管是主体，未说明包含气源，不能补成压缩机整机</x:v>
      </x:c>
      <x:c r="K72" s="4" t="str">
        <x:v>气源及配件供货未知</x:v>
      </x:c>
      <x:c r="L72" s="4" t="str">
        <x:v>https://www.amazon.es/Timbertech-ABPST01-aer%C3%B3grafo-adaptador-boquillas/dp/B00K78M09E?psc=1</x:v>
      </x:c>
      <x:c r="M72" s="4" t="str">
        <x:v>B0_84bacc4c6b66_020085</x:v>
      </x:c>
      <x:c r="N72" s="4" t="str">
        <x:v>3e204118df7e0da67f162e948156746357bdead2d8d22baa530c068074453ff4</x:v>
      </x:c>
      <x:c r="O72" s="8"/>
      <x:c r="P72" s="8"/>
      <x:c r="Q72" s="8"/>
      <x:c r="R72" s="8"/>
    </x:row>
    <x:row r="73" ht="90" customHeight="1">
      <x:c r="A73" s="4" t="str">
        <x:v>P069</x:v>
      </x:c>
      <x:c r="B73" s="4" t="str">
        <x:v>KOMFOTTEU Estantería colgante de pared de 3 niveles, estantería colgante con marco de metal, estantería de almacenamiento para sala de estar, cocina, dormitorio, baño (marrón rústico)</x:v>
      </x:c>
      <x:c r="C73" s="4" t="str">
        <x:v>壁挂多层置物架</x:v>
      </x:c>
      <x:c r="D73" s="4" t="str">
        <x:v>墙面储物</x:v>
      </x:c>
      <x:c r="E73" s="4" t="str">
        <x:v>保留</x:v>
      </x:c>
      <x:c r="F73" s="4" t="str"/>
      <x:c r="G73" s="4" t="str">
        <x:v>3220591</x:v>
      </x:c>
      <x:c r="H73" s="4" t="str">
        <x:v>Estante de pared</x:v>
      </x:c>
      <x:c r="I73" s="4" t="str">
        <x:v>related_type</x:v>
      </x:c>
      <x:c r="J73" s="4" t="str">
        <x:v>墙挂收纳架与Action墙架为相关类型，不能推定同层数和材料</x:v>
      </x:c>
      <x:c r="K73" s="4" t="str">
        <x:v>承重与安装未知</x:v>
      </x:c>
      <x:c r="L73" s="4" t="str">
        <x:v>https://www.amazon.es/KOMFOTTEU-Estanter%C3%ADa-estanter%C3%ADa-almacenamiento-dormitorio/dp/B0GX65TK5N?psc=1</x:v>
      </x:c>
      <x:c r="M73" s="4" t="str">
        <x:v>B0_84bacc4c6b66_011185</x:v>
      </x:c>
      <x:c r="N73" s="4" t="str">
        <x:v>af18e8e26cdb3efdc08cf677a647e7e1d0327cf556d7609a4ebcd3bbb964dbc8</x:v>
      </x:c>
      <x:c r="O73" s="8"/>
      <x:c r="P73" s="8"/>
      <x:c r="Q73" s="8"/>
      <x:c r="R73" s="8"/>
    </x:row>
    <x:row r="74" ht="90" customHeight="1">
      <x:c r="A74" s="4" t="str">
        <x:v>P070</x:v>
      </x:c>
      <x:c r="B74" s="4" t="str">
        <x:v>Esencia Aromática de Miel Concentrada para Cosmética y Jabones | Aroma Dulce, Floral y Empolvado | Perfecta para Geles, Champús y Cremas | 50 ml</x:v>
      </x:c>
      <x:c r="C74" s="4" t="str">
        <x:v>蜂蜜香型香精原料</x:v>
      </x:c>
      <x:c r="D74" s="4" t="str">
        <x:v>调配洗护或香皂香味</x:v>
      </x:c>
      <x:c r="E74" s="4" t="str">
        <x:v>观察</x:v>
      </x:c>
      <x:c r="F74" s="4" t="str">
        <x:v>经营边界未确认</x:v>
      </x:c>
      <x:c r="G74" s="4" t="str"/>
      <x:c r="H74" s="4" t="str"/>
      <x:c r="I74" s="4" t="str">
        <x:v>none</x:v>
      </x:c>
      <x:c r="J74" s="4" t="str">
        <x:v>销售浓缩香精，蜂蜜是香型而非食品或已确认成分；成品香皂不作同类</x:v>
      </x:c>
      <x:c r="K74" s="4" t="str">
        <x:v>配方、用量和皮肤安全未知</x:v>
      </x:c>
      <x:c r="L74" s="4" t="str">
        <x:v>https://www.amazon.es/Arom%C3%A1tica-Concentrada-Cosm%C3%A9tica-Empolvado-Perfecta/dp/B0DFX72666?psc=1</x:v>
      </x:c>
      <x:c r="M74" s="4" t="str">
        <x:v>B0_84bacc4c6b66_001784</x:v>
      </x:c>
      <x:c r="N74" s="4" t="str">
        <x:v>9ff47a1dd8b6c052d0208439bba938cec840c85bf8e2c43c2c956e0cd10a7904</x:v>
      </x:c>
      <x:c r="O74" s="8"/>
      <x:c r="P74" s="8"/>
      <x:c r="Q74" s="8"/>
      <x:c r="R74" s="8"/>
    </x:row>
    <x:row r="75" ht="90" customHeight="1">
      <x:c r="A75" s="4" t="str">
        <x:v>P071</x:v>
      </x:c>
      <x:c r="B75" s="4" t="str">
        <x:v>Imán nevera Viena Austria Princesa Sissi Emperatrice AUT27 | Imán magnético en 3D, recuerdo de viaje, colección – Emperatriz Elizabeth Baviera, Sissi, Viena Austria, Familia Habsburgo</x:v>
      </x:c>
      <x:c r="C75" s="4" t="str">
        <x:v>纪念冰箱贴</x:v>
      </x:c>
      <x:c r="D75" s="4" t="str">
        <x:v>磁吸装饰</x:v>
      </x:c>
      <x:c r="E75" s="4" t="str">
        <x:v>保留</x:v>
      </x:c>
      <x:c r="F75" s="4" t="str"/>
      <x:c r="G75" s="4" t="str">
        <x:v>3212289</x:v>
      </x:c>
      <x:c r="H75" s="4" t="str">
        <x:v>Imanes</x:v>
      </x:c>
      <x:c r="I75" s="4" t="str">
        <x:v>related_type</x:v>
      </x:c>
      <x:c r="J75" s="4" t="str">
        <x:v>冰箱贴不是冰箱或旅行套装，Action磁铁支持相关磁吸物</x:v>
      </x:c>
      <x:c r="K75" s="4" t="str">
        <x:v>磁力与授权未知</x:v>
      </x:c>
      <x:c r="L75" s="4" t="str">
        <x:v>https://www.amazon.es/Princesa-Emperatrice-magn%C3%A9tico-recuerdo-colecci%C3%B3n/dp/B0HDJYP6JL?psc=1</x:v>
      </x:c>
      <x:c r="M75" s="4" t="str">
        <x:v>B0_84bacc4c6b66_016187</x:v>
      </x:c>
      <x:c r="N75" s="4" t="str">
        <x:v>e5be1f56a8cd19da0967a68f288599f33cad0593574f0e6b5e0ccd2946493d5d</x:v>
      </x:c>
      <x:c r="O75" s="8"/>
      <x:c r="P75" s="8"/>
      <x:c r="Q75" s="8"/>
      <x:c r="R75" s="8"/>
    </x:row>
    <x:row r="76" ht="90" customHeight="1">
      <x:c r="A76" s="4" t="str">
        <x:v>P072</x:v>
      </x:c>
      <x:c r="B76" s="4" t="str">
        <x:v>Ibergrif Aireador giratorio 1440° con 2 modos de chorro | Extensor de grifo de latón cromado para lavabo, cocina y baño, roscas 20, 22 y 24 mm.</x:v>
      </x:c>
      <x:c r="C76" s="4" t="str">
        <x:v>旋转水龙头起泡延长器</x:v>
      </x:c>
      <x:c r="D76" s="4" t="str">
        <x:v>调整出水方向和水流</x:v>
      </x:c>
      <x:c r="E76" s="4" t="str">
        <x:v>观察</x:v>
      </x:c>
      <x:c r="F76" s="4" t="str">
        <x:v>经营边界未确认</x:v>
      </x:c>
      <x:c r="G76" s="4" t="str"/>
      <x:c r="H76" s="4" t="str"/>
      <x:c r="I76" s="4" t="str">
        <x:v>none</x:v>
      </x:c>
      <x:c r="J76" s="4" t="str">
        <x:v>起泡器是龙头附件，不是完整水龙头；螺纹兼容需核实</x:v>
      </x:c>
      <x:c r="K76" s="4" t="str">
        <x:v>接口和密封未知</x:v>
      </x:c>
      <x:c r="L76" s="4" t="str">
        <x:v>https://www.amazon.es/Ibergrif-M91006-Aireador-Giratorio-Adaptador/dp/B0C69K51L6?psc=1</x:v>
      </x:c>
      <x:c r="M76" s="4" t="str">
        <x:v>B0_84bacc4c6b66_010096</x:v>
      </x:c>
      <x:c r="N76" s="4" t="str">
        <x:v>03191ed629167f211385499f90dd1fb891f024c1acf5dc31de1df45729106c5c</x:v>
      </x:c>
      <x:c r="O76" s="8"/>
      <x:c r="P76" s="8"/>
      <x:c r="Q76" s="8"/>
      <x:c r="R76" s="8"/>
    </x:row>
    <x:row r="77" ht="90" customHeight="1">
      <x:c r="A77" s="4" t="str">
        <x:v>P073</x:v>
      </x:c>
      <x:c r="B77" s="4" t="str">
        <x:v>Douceur d'Intérieur So Natural - Juego con funda de edredón y 2 fundas de almohada, algodon, estampado, Multicolor, 240 X 220 cm</x:v>
      </x:c>
      <x:c r="C77" s="4" t="str">
        <x:v>被套与枕套套装</x:v>
      </x:c>
      <x:c r="D77" s="4" t="str">
        <x:v>覆盖床品</x:v>
      </x:c>
      <x:c r="E77" s="4" t="str">
        <x:v>保留</x:v>
      </x:c>
      <x:c r="F77" s="4" t="str"/>
      <x:c r="G77" s="4" t="str">
        <x:v>3222661</x:v>
      </x:c>
      <x:c r="H77" s="4" t="str">
        <x:v>Funda nórdica de algodón</x:v>
      </x:c>
      <x:c r="I77" s="4" t="str">
        <x:v>related_type</x:v>
      </x:c>
      <x:c r="J77" s="4" t="str">
        <x:v>被套为主要主体，有Action同类被套；不证明参照含相同枕套配置</x:v>
      </x:c>
      <x:c r="K77" s="4" t="str">
        <x:v>尺寸及材料表现未知</x:v>
      </x:c>
      <x:c r="L77" s="4" t="str">
        <x:v>https://www.amazon.es/Douceur-dInt%C3%A9rieur-1640448-Personas-Estampado/dp/B006IVXFQG/ref=sr_1_1479?dib=eyJ2IjoiMSJ9.Ik9DZJWP6K4yEj1y3XFQ9BPlmkHFq0o2JnqCru_PI9csBE0EaywVyXCogHFhnDGPA-dEf7NTInSk2YLJrSYLavb-G9HLSXRpsqVhI0w8MlP6i8vVZZDVs8r19ia3NlwoPpoy2bSYolJ_QijuCcodIcVYEl3L1lBaB6-k4ylIhCG37Z5v0knj-pXuzqZhgB6CnU-ZbH86yTDfYVj3xWzPRoQfwkpNbPBlCDBkv9IsY5H976SEHL3xzaEEqBp2lMJLE7-sqrLKUP8KBRQp98k_E4_04ONd2Rx_ndlvtPxaqhA._bjC2hjxGk3vCuZqmi5l3BuBS1k13gLP4HAXW9wpRfM&amp;dib_tag=se&amp;qid=1792597831&amp;s=kitchen&amp;sr=1-1479&amp;srs=88626813031&amp;xpid=CeuYXw3Vdr0Bg</x:v>
      </x:c>
      <x:c r="M77" s="4" t="str">
        <x:v>B0_84bacc4c6b66_006385</x:v>
      </x:c>
      <x:c r="N77" s="4" t="str">
        <x:v>03667b2b86cd4197855810a69adde18efefec4534c3d5bc6c7c5defe77230756</x:v>
      </x:c>
      <x:c r="O77" s="8"/>
      <x:c r="P77" s="8"/>
      <x:c r="Q77" s="8"/>
      <x:c r="R77" s="8"/>
    </x:row>
    <x:row r="78" ht="90" customHeight="1">
      <x:c r="A78" s="4" t="str">
        <x:v>P074</x:v>
      </x:c>
      <x:c r="B78" s="4" t="str">
        <x:v>Motor eléctrico de baja velocidad de alto par DC 5V, motor de engranajes de plástico, motor de reducción de desaceleración en miniatura para aplicaciones de motor eléctrico pequeño</x:v>
      </x:c>
      <x:c r="C78" s="4" t="str">
        <x:v>微型减速电机</x:v>
      </x:c>
      <x:c r="D78" s="4" t="str">
        <x:v>为装置提供低速驱动</x:v>
      </x:c>
      <x:c r="E78" s="4" t="str">
        <x:v>观察</x:v>
      </x:c>
      <x:c r="F78" s="4" t="str">
        <x:v>专用或安装配件</x:v>
      </x:c>
      <x:c r="G78" s="4" t="str"/>
      <x:c r="H78" s="4" t="str"/>
      <x:c r="I78" s="4" t="str">
        <x:v>none</x:v>
      </x:c>
      <x:c r="J78" s="4" t="str">
        <x:v>电机为组装元件，不是完整工业设备，电机油无同类关系</x:v>
      </x:c>
      <x:c r="K78" s="4" t="str">
        <x:v>接口、电流与适用装置未知</x:v>
      </x:c>
      <x:c r="L78" s="4" t="str">
        <x:v>https://www.amazon.es/el%C3%A9ctrico-velocidad-engranajes-desaceleraci%C3%B3n-aplicaciones/dp/B0FY5PKBM5?psc=1</x:v>
      </x:c>
      <x:c r="M78" s="4" t="str">
        <x:v>B0_84bacc4c6b66_023804</x:v>
      </x:c>
      <x:c r="N78" s="4" t="str">
        <x:v>589e1249fec79740825d8a551f1a1180599fa363045608d0fd9f35fd3226c00e</x:v>
      </x:c>
      <x:c r="O78" s="8"/>
      <x:c r="P78" s="8"/>
      <x:c r="Q78" s="8"/>
      <x:c r="R78" s="8"/>
    </x:row>
    <x:row r="79" ht="90" customHeight="1">
      <x:c r="A79" s="4" t="str">
        <x:v>P075</x:v>
      </x:c>
      <x:c r="B79" s="4" t="str">
        <x:v>YAXIAO 12 Piezas Embellecedor Radiador PVC Blanco 6.1x1.3cm Tubería de Agua | Embellecedor Tubo Radiador Embellecedor Tuberia Universal 14-29 MM para Gasoducto Tuberías de Agua Fría y Caliente Cocina</x:v>
      </x:c>
      <x:c r="C79" s="4" t="str">
        <x:v>管道孔装饰盖</x:v>
      </x:c>
      <x:c r="D79" s="4" t="str">
        <x:v>遮盖管道穿孔</x:v>
      </x:c>
      <x:c r="E79" s="4" t="str">
        <x:v>观察</x:v>
      </x:c>
      <x:c r="F79" s="4" t="str">
        <x:v>专用或安装配件</x:v>
      </x:c>
      <x:c r="G79" s="4" t="str"/>
      <x:c r="H79" s="4" t="str"/>
      <x:c r="I79" s="4" t="str">
        <x:v>none</x:v>
      </x:c>
      <x:c r="J79" s="4" t="str">
        <x:v>盖片是安装构件，radiador与管道是宿主，不是散热器整机</x:v>
      </x:c>
      <x:c r="K79" s="4" t="str">
        <x:v>孔径与安装适配未知</x:v>
      </x:c>
      <x:c r="L79" s="4" t="str">
        <x:v>https://www.amazon.es/YAXIAO-Embellecedor-6-1x1-3cm-Universal-Gasoducto/dp/B0HDJ4D5L3?psc=1</x:v>
      </x:c>
      <x:c r="M79" s="4" t="str">
        <x:v>B0_84bacc4c6b66_022407</x:v>
      </x:c>
      <x:c r="N79" s="4" t="str">
        <x:v>1cee4540d42494df609d97695b2cde188839b1460574fc1f00f7646e75262310</x:v>
      </x:c>
      <x:c r="O79" s="8"/>
      <x:c r="P79" s="8"/>
      <x:c r="Q79" s="8"/>
      <x:c r="R79" s="8"/>
    </x:row>
    <x:row r="80" ht="90" customHeight="1">
      <x:c r="A80" s="4" t="str">
        <x:v>P076</x:v>
      </x:c>
      <x:c r="B80" s="4" t="str">
        <x:v>Luz para sala de sauna, lámpara ovalada antialtas temperaturas a prueba de explosiones, luz de techo impermeable</x:v>
      </x:c>
      <x:c r="C80" s="4" t="str">
        <x:v>桑拿室灯具</x:v>
      </x:c>
      <x:c r="D80" s="4" t="str">
        <x:v>桑拿空间照明</x:v>
      </x:c>
      <x:c r="E80" s="4" t="str">
        <x:v>观察</x:v>
      </x:c>
      <x:c r="F80" s="4" t="str">
        <x:v>经营边界未确认</x:v>
      </x:c>
      <x:c r="G80" s="4" t="str">
        <x:v>3217205</x:v>
      </x:c>
      <x:c r="H80" s="4" t="str">
        <x:v>Luz de techo Brilo Deckenleuchte</x:v>
      </x:c>
      <x:c r="I80" s="4" t="str">
        <x:v>related_type</x:v>
      </x:c>
      <x:c r="J80" s="4" t="str">
        <x:v>明确灯具不是桑拿设备；普通顶灯仅相关，不证明耐热防爆</x:v>
      </x:c>
      <x:c r="K80" s="4" t="str">
        <x:v>温度等级及电气防护未验证</x:v>
      </x:c>
      <x:c r="L80" s="4" t="str">
        <x:v>https://www.amazon.es/l%C3%A1mpara-antialtas-temperaturas-explosiones-impermeable/dp/B0H9YL4ZKK?psc=1</x:v>
      </x:c>
      <x:c r="M80" s="4" t="str">
        <x:v>B0_84bacc4c6b66_024238</x:v>
      </x:c>
      <x:c r="N80" s="4" t="str">
        <x:v>5d7baa5ab22ea1ea43fdecf99ce0e90c40e5920dcce23cc2d74482e0ee071b40</x:v>
      </x:c>
      <x:c r="O80" s="8"/>
      <x:c r="P80" s="8"/>
      <x:c r="Q80" s="8"/>
      <x:c r="R80" s="8"/>
    </x:row>
    <x:row r="81" ht="90" customHeight="1">
      <x:c r="A81" s="4" t="str">
        <x:v>P077</x:v>
      </x:c>
      <x:c r="B81" s="4" t="str">
        <x:v>ZPQAODI 4 Piezas Separadores de Cajones Ajustables, Drawer Organizer con 12 Separadores, Organizador Cajones para Ropa Divisor Organizador Cajones Expansible para Dormitorio/Baño/Cocina/Oficina</x:v>
      </x:c>
      <x:c r="C81" s="4" t="str">
        <x:v>可调抽屉分隔板</x:v>
      </x:c>
      <x:c r="D81" s="4" t="str">
        <x:v>划分抽屉储物空间</x:v>
      </x:c>
      <x:c r="E81" s="4" t="str">
        <x:v>观察</x:v>
      </x:c>
      <x:c r="F81" s="4" t="str">
        <x:v>参照关联过宽</x:v>
      </x:c>
      <x:c r="G81" s="4" t="str">
        <x:v>3015876</x:v>
      </x:c>
      <x:c r="H81" s="4" t="str">
        <x:v>Organizadores</x:v>
      </x:c>
      <x:c r="I81" s="4" t="str">
        <x:v>category_only</x:v>
      </x:c>
      <x:c r="J81" s="4" t="str">
        <x:v>抽屉分隔件主体清楚，Action泛称整理器不足以证明分隔结构</x:v>
      </x:c>
      <x:c r="K81" s="4" t="str">
        <x:v>适配范围与固定方式未知</x:v>
      </x:c>
      <x:c r="L81" s="4" t="str">
        <x:v>https://www.amazon.es/ZPQAODI-Separadores-Ajustables-Organizador-Expansible/dp/B0HGG3RVMG?psc=1</x:v>
      </x:c>
      <x:c r="M81" s="4" t="str">
        <x:v>B0_84bacc4c6b66_022855</x:v>
      </x:c>
      <x:c r="N81" s="4" t="str">
        <x:v>d89ed40dd2aa935fff705d68fdc5b9991094be1ccbc3764404243c31d017c1df</x:v>
      </x:c>
      <x:c r="O81" s="8"/>
      <x:c r="P81" s="8"/>
      <x:c r="Q81" s="8"/>
      <x:c r="R81" s="8"/>
    </x:row>
    <x:row r="82" ht="90" customHeight="1">
      <x:c r="A82" s="4" t="str">
        <x:v>P078</x:v>
      </x:c>
      <x:c r="B82" s="4" t="str">
        <x:v>Liputiens, Jules y su Pato, Juego de Boyas, Juguete de baño, Desde 6 Meses | Lilliputiens - ref. 83651 - 5414834836516 - Naranja - Materiales mixtos</x:v>
      </x:c>
      <x:c r="C82" s="4" t="str">
        <x:v>漂浮浴玩具</x:v>
      </x:c>
      <x:c r="D82" s="4" t="str">
        <x:v>儿童浴时玩耍</x:v>
      </x:c>
      <x:c r="E82" s="4" t="str">
        <x:v>保留</x:v>
      </x:c>
      <x:c r="F82" s="4" t="str"/>
      <x:c r="G82" s="4" t="str">
        <x:v>3212071</x:v>
      </x:c>
      <x:c r="H82" s="4" t="str">
        <x:v>Juguetes de baño flotantes</x:v>
      </x:c>
      <x:c r="I82" s="4" t="str">
        <x:v>same_type</x:v>
      </x:c>
      <x:c r="J82" s="4" t="str">
        <x:v>浴玩具及浮圈语境与Action漂浮浴玩具相符，不补材质</x:v>
      </x:c>
      <x:c r="K82" s="4" t="str">
        <x:v>适龄与安全声称未验证</x:v>
      </x:c>
      <x:c r="L82" s="4" t="str">
        <x:v>https://www.amazon.es/Liputiens-Jules-Juego-Boyas-Juguete/dp/B0FQK8WH9B?psc=1</x:v>
      </x:c>
      <x:c r="M82" s="4" t="str">
        <x:v>B0_84bacc4c6b66_012379</x:v>
      </x:c>
      <x:c r="N82" s="4" t="str">
        <x:v>24043182b221a18e759358c4fb7c2e6c790e2f828541b4406ee0cbb3c46e1855</x:v>
      </x:c>
      <x:c r="O82" s="8"/>
      <x:c r="P82" s="8"/>
      <x:c r="Q82" s="8"/>
      <x:c r="R82" s="8"/>
    </x:row>
    <x:row r="83" ht="90" customHeight="1">
      <x:c r="A83" s="4" t="str">
        <x:v>P079</x:v>
      </x:c>
      <x:c r="B83" s="4" t="str">
        <x:v>PD® Tapones Tapón Redondo 15mm para Tubo | 20 Piezas de Plástico PE Redondo</x:v>
      </x:c>
      <x:c r="C83" s="4" t="str">
        <x:v>管口封堵塞</x:v>
      </x:c>
      <x:c r="D83" s="4" t="str">
        <x:v>封闭管口</x:v>
      </x:c>
      <x:c r="E83" s="4" t="str">
        <x:v>观察</x:v>
      </x:c>
      <x:c r="F83" s="4" t="str">
        <x:v>专用或安装配件</x:v>
      </x:c>
      <x:c r="G83" s="4" t="str"/>
      <x:c r="H83" s="4" t="str"/>
      <x:c r="I83" s="4" t="str">
        <x:v>none</x:v>
      </x:c>
      <x:c r="J83" s="4" t="str">
        <x:v>明确管塞，不是耳塞或瓶塞；管道尺寸不推定用途介质</x:v>
      </x:c>
      <x:c r="K83" s="4" t="str">
        <x:v>外径内径口径及适配未知</x:v>
      </x:c>
      <x:c r="L83" s="4" t="str">
        <x:v>https://www.amazon.es/Tapones-Redondos-pl%C3%A1stico-Inoxidable-Aluminio/dp/B0BX4JB5WK?psc=1</x:v>
      </x:c>
      <x:c r="M83" s="4" t="str">
        <x:v>B0_84bacc4c6b66_019612</x:v>
      </x:c>
      <x:c r="N83" s="4" t="str">
        <x:v>17552dbfb758af32f851ff831dee4d184500f0d31fde0f8f25ad75d5d6f21680</x:v>
      </x:c>
      <x:c r="O83" s="8"/>
      <x:c r="P83" s="8"/>
      <x:c r="Q83" s="8"/>
      <x:c r="R83" s="8"/>
    </x:row>
    <x:row r="84" ht="90" customHeight="1">
      <x:c r="A84" s="4" t="str">
        <x:v>P080</x:v>
      </x:c>
      <x:c r="B84" s="4" t="str">
        <x:v>Funda de silicona para timbre Ring Doorbell 2K/Plus/4K Pro (2026) con | Material de silicona, visera antirreflejos, protección contra la lluvia y la nieve, ajuste preciso para modelos 2026</x:v>
      </x:c>
      <x:c r="C84" s="4" t="str">
        <x:v>指定门铃保护套</x:v>
      </x:c>
      <x:c r="D84" s="4" t="str">
        <x:v>保护门铃外部</x:v>
      </x:c>
      <x:c r="E84" s="4" t="str">
        <x:v>观察</x:v>
      </x:c>
      <x:c r="F84" s="4" t="str">
        <x:v>专用或安装配件</x:v>
      </x:c>
      <x:c r="G84" s="4" t="str">
        <x:v>3007981</x:v>
      </x:c>
      <x:c r="H84" s="4" t="str">
        <x:v>Funda de protección de silicona Lab31</x:v>
      </x:c>
      <x:c r="I84" s="4" t="str">
        <x:v>category_only</x:v>
      </x:c>
      <x:c r="J84" s="4" t="str">
        <x:v>保护套依赖指定门铃机型，Action泛保护套不能证明相同宿主</x:v>
      </x:c>
      <x:c r="K84" s="4" t="str">
        <x:v>型号和遮挡影响未知</x:v>
      </x:c>
      <x:c r="L84" s="4" t="str">
        <x:v>https://www.amazon.es/Funda-silicona-para-timbre-Doorbell/dp/B0HJZW7Q7Y?psc=1</x:v>
      </x:c>
      <x:c r="M84" s="4" t="str">
        <x:v>B0_84bacc4c6b66_008058</x:v>
      </x:c>
      <x:c r="N84" s="4" t="str">
        <x:v>1efacee5170e5ed4cd5d14fbd6d7909a4d2e18373895e941ab0b55bbbbebb0fe</x:v>
      </x:c>
      <x:c r="O84" s="8"/>
      <x:c r="P84" s="8"/>
      <x:c r="Q84" s="8"/>
      <x:c r="R84" s="8"/>
    </x:row>
    <x:row r="85" ht="90" customHeight="1">
      <x:c r="A85" s="4" t="str">
        <x:v>P081</x:v>
      </x:c>
      <x:c r="B85" s="4" t="str">
        <x:v>Cortasetos a Batería 2 en 1, Tijeras de Césped, 21V, Cuchillas 22 y 13 cm | Brushless motor 21V, shrub blade 22 cm, grass blade 13 cm, wheel base and 3.0Ah battery with fast charger</x:v>
      </x:c>
      <x:c r="C85" s="4" t="str">
        <x:v>电池式绿篱修剪器</x:v>
      </x:c>
      <x:c r="D85" s="4" t="str">
        <x:v>修剪草坪和灌木</x:v>
      </x:c>
      <x:c r="E85" s="4" t="str">
        <x:v>观察</x:v>
      </x:c>
      <x:c r="F85" s="4" t="str">
        <x:v>经营边界未确认</x:v>
      </x:c>
      <x:c r="G85" s="4" t="str"/>
      <x:c r="H85" s="4" t="str"/>
      <x:c r="I85" s="4" t="str">
        <x:v>none</x:v>
      </x:c>
      <x:c r="J85" s="4" t="str">
        <x:v>整机刀片组合明确，不把刀片当剃须耗材；动力园艺范围待核</x:v>
      </x:c>
      <x:c r="K85" s="4" t="str">
        <x:v>切割能力及电池性能未知</x:v>
      </x:c>
      <x:c r="L85" s="4" t="str">
        <x:v>https://www.amazon.es/Cortasetos-Bater%C3%ADa-Tijeras-C%C3%A9sped-Cuchillas/dp/B0H7X7N66P?psc=1</x:v>
      </x:c>
      <x:c r="M85" s="4" t="str">
        <x:v>B0_84bacc4c6b66_005127</x:v>
      </x:c>
      <x:c r="N85" s="4" t="str">
        <x:v>699c78af8a7511ba6eda9ec734277a3d7883a13790ef49e8af555cc417dd8d14</x:v>
      </x:c>
      <x:c r="O85" s="8"/>
      <x:c r="P85" s="8"/>
      <x:c r="Q85" s="8"/>
      <x:c r="R85" s="8"/>
    </x:row>
    <x:row r="86" ht="90" customHeight="1">
      <x:c r="A86" s="4" t="str">
        <x:v>P082</x:v>
      </x:c>
      <x:c r="B86" s="4" t="str">
        <x:v>OutIn Nano Máquina de café espresso eléctrica portátil, Space Gray | Cafetera de viaje para camping, cafetera de coche con autocalentamiento USB-C, con café molido y cápsula NS</x:v>
      </x:c>
      <x:c r="C86" s="4" t="str">
        <x:v>便携电动浓缩咖啡机</x:v>
      </x:c>
      <x:c r="D86" s="4" t="str">
        <x:v>旅行制作咖啡</x:v>
      </x:c>
      <x:c r="E86" s="4" t="str">
        <x:v>观察</x:v>
      </x:c>
      <x:c r="F86" s="4" t="str">
        <x:v>经营边界未确认</x:v>
      </x:c>
      <x:c r="G86" s="4" t="str">
        <x:v>3214353</x:v>
      </x:c>
      <x:c r="H86" s="4" t="str">
        <x:v>Cafetera espresso</x:v>
      </x:c>
      <x:c r="I86" s="4" t="str">
        <x:v>same_type</x:v>
      </x:c>
      <x:c r="J86" s="4" t="str">
        <x:v>浓缩咖啡机主体有同类参照，便携自加热为来源声称</x:v>
      </x:c>
      <x:c r="K86" s="4" t="str">
        <x:v>压力、续航及胶囊兼容未知</x:v>
      </x:c>
      <x:c r="L86" s="4" t="str">
        <x:v>https://www.amazon.es/OutIn-Cafetera-El%C3%A9ctrica-Autocalentable-Senderismo/dp/B0BRKFWPF3?psc=1</x:v>
      </x:c>
      <x:c r="M86" s="4" t="str">
        <x:v>B0_84bacc4c6b66_014922</x:v>
      </x:c>
      <x:c r="N86" s="4" t="str">
        <x:v>ac6f59830d05be4d98aa8010a28a3be7203e58f666b9eb49d6b5fdf637eac9f0</x:v>
      </x:c>
      <x:c r="O86" s="8"/>
      <x:c r="P86" s="8"/>
      <x:c r="Q86" s="8"/>
      <x:c r="R86" s="8"/>
    </x:row>
    <x:row r="87" ht="90" customHeight="1">
      <x:c r="A87" s="4" t="str">
        <x:v>P083</x:v>
      </x:c>
      <x:c r="B87" s="4" t="str">
        <x:v>SONOFF Basic Riel DIN (BASIC-ZB1GSP) Zigbee Smart Switch Hutschiene, Controlador Zigbee 3.0 Smart Home con monitoreo de energía, 32A para caja de fusibles, compatible con Home Assistant Alexa</x:v>
      </x:c>
      <x:c r="C87" s="4" t="str">
        <x:v>导轨式智能开关</x:v>
      </x:c>
      <x:c r="D87" s="4" t="str">
        <x:v>控制及监测电路</x:v>
      </x:c>
      <x:c r="E87" s="4" t="str">
        <x:v>观察</x:v>
      </x:c>
      <x:c r="F87" s="4" t="str">
        <x:v>专用或安装配件</x:v>
      </x:c>
      <x:c r="G87" s="4" t="str"/>
      <x:c r="H87" s="4" t="str"/>
      <x:c r="I87" s="4" t="str">
        <x:v>none</x:v>
      </x:c>
      <x:c r="J87" s="4" t="str">
        <x:v>导轨和保险箱用语明确电路安装设备，不是普通遥控器</x:v>
      </x:c>
      <x:c r="K87" s="4" t="str">
        <x:v>协议、负载与认证未知</x:v>
      </x:c>
      <x:c r="L87" s="4" t="str">
        <x:v>https://www.amazon.es/SONOFF-BASIC-ZB1GSP-Hutschiene-Controlador-compatible/dp/B0H45VNXDV?psc=1</x:v>
      </x:c>
      <x:c r="M87" s="4" t="str">
        <x:v>B0_84bacc4c6b66_018077</x:v>
      </x:c>
      <x:c r="N87" s="4" t="str">
        <x:v>dec6744bbfac54ab9ca5a5a0261793aa496c47513c4d9a7544f29faa4ca8c01f</x:v>
      </x:c>
      <x:c r="O87" s="8"/>
      <x:c r="P87" s="8"/>
      <x:c r="Q87" s="8"/>
      <x:c r="R87" s="8"/>
    </x:row>
    <x:row r="88" ht="90" customHeight="1">
      <x:c r="A88" s="4" t="str">
        <x:v>P084</x:v>
      </x:c>
      <x:c r="B88" s="4" t="str">
        <x:v>VEVOR Estantería Metálica 5 Niveles 121,9 x 45 x 181,3 cm 1134 kg SPCC | para Garajes, Cocinas y Sótanos, Estante de Almacenamiento Ajustable, Malla Ventilada, Montaje sin Tornillos y Diseño Estable</x:v>
      </x:c>
      <x:c r="C88" s="4" t="str">
        <x:v>多层金属储物架</x:v>
      </x:c>
      <x:c r="D88" s="4" t="str">
        <x:v>分类储物</x:v>
      </x:c>
      <x:c r="E88" s="4" t="str">
        <x:v>观察</x:v>
      </x:c>
      <x:c r="F88" s="4" t="str">
        <x:v>经营边界未确认</x:v>
      </x:c>
      <x:c r="G88" s="4" t="str">
        <x:v>3202826</x:v>
      </x:c>
      <x:c r="H88" s="4" t="str">
        <x:v>Estantería metálica</x:v>
      </x:c>
      <x:c r="I88" s="4" t="str">
        <x:v>same_type</x:v>
      </x:c>
      <x:c r="J88" s="4" t="str">
        <x:v>完整货架属于家具，不因高承重宣传认成工业机器；Action有金属架同类</x:v>
      </x:c>
      <x:c r="K88" s="4" t="str">
        <x:v>承重、固定和尺寸未验证</x:v>
      </x:c>
      <x:c r="L88" s="4" t="str">
        <x:v>https://www.amazon.es/VEVOR-Estanter%C3%ADa-Almacenamiento-Ajustable-Ventilada/dp/B0HHL1NFHF?psc=1</x:v>
      </x:c>
      <x:c r="M88" s="4" t="str">
        <x:v>B0_84bacc4c6b66_020999</x:v>
      </x:c>
      <x:c r="N88" s="4" t="str">
        <x:v>e0ea6d6cda34ac29c17a015d08664d26ffe85b0edf68b1b932da3e0e26387bc3</x:v>
      </x:c>
      <x:c r="O88" s="8"/>
      <x:c r="P88" s="8"/>
      <x:c r="Q88" s="8"/>
      <x:c r="R88" s="8"/>
    </x:row>
    <x:row r="89" ht="90" customHeight="1">
      <x:c r="A89" s="4" t="str">
        <x:v>P085</x:v>
      </x:c>
      <x:c r="B89" s="4" t="str">
        <x:v>JERVOXAL Plantas Artificiales Decorativas, Set de 5, 7-22 cm, Interior | Plantas Artificiales Pequeñas de PE con Eucalipto, Romero y Suculentas, Macetas Efecto Cemento para Mesa, Estante y Oficina</x:v>
      </x:c>
      <x:c r="C89" s="4" t="str">
        <x:v>小型仿真盆栽套装</x:v>
      </x:c>
      <x:c r="D89" s="4" t="str">
        <x:v>桌面和室内装饰</x:v>
      </x:c>
      <x:c r="E89" s="4" t="str">
        <x:v>保留</x:v>
      </x:c>
      <x:c r="F89" s="4" t="str"/>
      <x:c r="G89" s="4" t="str">
        <x:v>3222349</x:v>
      </x:c>
      <x:c r="H89" s="4" t="str">
        <x:v>Planta artificial</x:v>
      </x:c>
      <x:c r="I89" s="4" t="str">
        <x:v>same_type</x:v>
      </x:c>
      <x:c r="J89" s="4" t="str">
        <x:v>仿真植物明确，不是活植物；Action有对应主体</x:v>
      </x:c>
      <x:c r="K89" s="4" t="str">
        <x:v>材料及供货花型未知</x:v>
      </x:c>
      <x:c r="L89" s="4" t="str">
        <x:v>https://www.amazon.es/JERVOXAL-Plantas-Artificiales-Decorativas-Interior/dp/B0HFRND4S3?psc=1</x:v>
      </x:c>
      <x:c r="M89" s="4" t="str">
        <x:v>B0_84bacc4c6b66_010533</x:v>
      </x:c>
      <x:c r="N89" s="4" t="str">
        <x:v>1ff1f8834d661834e22b5e6d53eff5ea52f8bd9200b5e6f64a5d4e72839775cb</x:v>
      </x:c>
      <x:c r="O89" s="8"/>
      <x:c r="P89" s="8"/>
      <x:c r="Q89" s="8"/>
      <x:c r="R89" s="8"/>
    </x:row>
    <x:row r="90" ht="90" customHeight="1">
      <x:c r="A90" s="4" t="str">
        <x:v>P086</x:v>
      </x:c>
      <x:c r="B90" s="4" t="str">
        <x:v>Regla Aluminio Rectangular Para Alisar Mortero 80x20 mm. Longitud 200 cm.</x:v>
      </x:c>
      <x:c r="C90" s="4" t="str">
        <x:v>砂浆找平直尺</x:v>
      </x:c>
      <x:c r="D90" s="4" t="str">
        <x:v>刮平砂浆</x:v>
      </x:c>
      <x:c r="E90" s="4" t="str">
        <x:v>保留</x:v>
      </x:c>
      <x:c r="F90" s="4" t="str"/>
      <x:c r="G90" s="4" t="str">
        <x:v>2579085</x:v>
      </x:c>
      <x:c r="H90" s="4" t="str">
        <x:v>Regla con nivel Werckmann</x:v>
      </x:c>
      <x:c r="I90" s="4" t="str">
        <x:v>related_type</x:v>
      </x:c>
      <x:c r="J90" s="4" t="str">
        <x:v>施工直尺与Action水平直尺为相关手工测平器具，不推定本品有水平泡</x:v>
      </x:c>
      <x:c r="K90" s="4" t="str">
        <x:v>直线度及长度未验证</x:v>
      </x:c>
      <x:c r="L90" s="4" t="str">
        <x:v>https://www.amazon.es/Aluminio-Rectangular-Alisar-Mortero-Longitud/dp/B0HH9FW7BC?psc=1</x:v>
      </x:c>
      <x:c r="M90" s="4" t="str">
        <x:v>B0_84bacc4c6b66_001221</x:v>
      </x:c>
      <x:c r="N90" s="4" t="str">
        <x:v>09b3fe46a54366637ee5a061533d34e606ea25bbf8447db1aae2c17677d132bb</x:v>
      </x:c>
      <x:c r="O90" s="8"/>
      <x:c r="P90" s="8"/>
      <x:c r="Q90" s="8"/>
      <x:c r="R90" s="8"/>
    </x:row>
    <x:row r="91" ht="90" customHeight="1">
      <x:c r="A91" s="4" t="str">
        <x:v>P087</x:v>
      </x:c>
      <x:c r="B91" s="4" t="str">
        <x:v>PILOT Caja de 2 set de 3 Recambios FriXion - Recambios para Bolígrafos borrables - Compatible con FriXion Ball y FriXion Ball Clicker - Azul - Punta Media (6 recambios)</x:v>
      </x:c>
      <x:c r="C91" s="4" t="str">
        <x:v>指定可擦笔替芯</x:v>
      </x:c>
      <x:c r="D91" s="4" t="str">
        <x:v>补充书写耗材</x:v>
      </x:c>
      <x:c r="E91" s="4" t="str">
        <x:v>观察</x:v>
      </x:c>
      <x:c r="F91" s="4" t="str">
        <x:v>专用或安装配件</x:v>
      </x:c>
      <x:c r="G91" s="4" t="str">
        <x:v>3010771</x:v>
      </x:c>
      <x:c r="H91" s="4" t="str">
        <x:v>Bolígrafos Pilot Frixionball Sticks</x:v>
      </x:c>
      <x:c r="I91" s="4" t="str">
        <x:v>host_only</x:v>
      </x:c>
      <x:c r="J91" s="4" t="str">
        <x:v>替芯依赖FriXion型号，Action整笔只证明宿主关系</x:v>
      </x:c>
      <x:c r="K91" s="4" t="str">
        <x:v>替芯型号和墨色未验证</x:v>
      </x:c>
      <x:c r="L91" s="4" t="str">
        <x:v>https://www.amazon.es/PILOT-Frixion-recambios-borrable-compatibles/dp/B07SJS82CZ?psc=1</x:v>
      </x:c>
      <x:c r="M91" s="4" t="str">
        <x:v>B0_84bacc4c6b66_015078</x:v>
      </x:c>
      <x:c r="N91" s="4" t="str">
        <x:v>950820540bbb79e185dfa7902cddccbaf665ac12027929228ad06a9f72bd986d</x:v>
      </x:c>
      <x:c r="O91" s="8"/>
      <x:c r="P91" s="8"/>
      <x:c r="Q91" s="8"/>
      <x:c r="R91" s="8"/>
    </x:row>
    <x:row r="92" ht="90" customHeight="1">
      <x:c r="A92" s="4" t="str">
        <x:v>P088</x:v>
      </x:c>
      <x:c r="B92" s="4" t="str">
        <x:v>Freidora eléctrica comercial de 5000 W con 2 cestas de 6 L, freidora de encimera de acero inoxidable de 0,8 mm de espesor, gran capacidad de 20 L con limitador de temperatura</x:v>
      </x:c>
      <x:c r="C92" s="4" t="str">
        <x:v>商用台式电炸锅</x:v>
      </x:c>
      <x:c r="D92" s="4" t="str">
        <x:v>油炸食物</x:v>
      </x:c>
      <x:c r="E92" s="4" t="str">
        <x:v>观察</x:v>
      </x:c>
      <x:c r="F92" s="4" t="str">
        <x:v>经营边界未确认</x:v>
      </x:c>
      <x:c r="G92" s="4" t="str"/>
      <x:c r="H92" s="4" t="str"/>
      <x:c r="I92" s="4" t="str">
        <x:v>none</x:v>
      </x:c>
      <x:c r="J92" s="4" t="str">
        <x:v>商用台式整机明确，但冻结工业整机边界未覆盖该类，不因功率和容量强行排除</x:v>
      </x:c>
      <x:c r="K92" s="4" t="str">
        <x:v>容量口径矛盾及商用范围待核</x:v>
      </x:c>
      <x:c r="L92" s="4" t="str">
        <x:v>https://www.amazon.es/Freidora-comercial-el%C3%A9ctrica-inoxidable-temperatura/dp/B096BJ3D93/ref=sr_1_1332?dib=eyJ2IjoiMSJ9.xeCrMjpEmzmb0YrQFiP4AInV0WKOdHjmDRrUZQG_RXn9QXXghhCzLl9YOSfwD56C91C4JyNRYNF7jiWtdigQWs5Lw8qwnSzkgY-aqQtPkAJIvUGCYeqaGkKlLvDOEgD7lwcOCrqqUy44tJ4yULxsv17UjoyAYn_6xvr7cXTX5Qm-rqHWgjF1s9P9CaWOBbcExTPiGLYRRQUSlw2hoXAC-rDBLXSq9pJe4dyryMqV5fDKDBjoZyuM_yd8T5pC_Ldc0PxixJ9ssr_urfq3uVLJEbnsRYrzmE9VhzD8eHye92c.4QYLI_Q9QGVA_KfFjxBjL-NmJTuydgSj35AFULgGzvU&amp;dib_tag=se&amp;qid=1792597709&amp;s=kitchen&amp;sr=1-1332&amp;srs=88626813031&amp;xpid=CeuYXw3Vdr0Bg</x:v>
      </x:c>
      <x:c r="M92" s="4" t="str">
        <x:v>B0_84bacc4c6b66_008006</x:v>
      </x:c>
      <x:c r="N92" s="4" t="str">
        <x:v>f715a84e68bce9fc9eb043b95128a6f24ce45d3b266f6f266cb22abdc591ada0</x:v>
      </x:c>
      <x:c r="O92" s="8"/>
      <x:c r="P92" s="8"/>
      <x:c r="Q92" s="8"/>
      <x:c r="R92" s="8"/>
    </x:row>
    <x:row r="93" ht="90" customHeight="1">
      <x:c r="A93" s="4" t="str">
        <x:v>P089</x:v>
      </x:c>
      <x:c r="B93" s="4" t="str">
        <x:v>SPSIL Chalk Paint Spray Beige Lino 400ml Pintura en Spray Ultra Mate a la Tiza,Efecto Retro y Vintage para Muebles de Madera, Metal, Cerámica,Imprimación en Spray</x:v>
      </x:c>
      <x:c r="C93" s="4" t="str">
        <x:v>粉笔效果喷漆</x:v>
      </x:c>
      <x:c r="D93" s="4" t="str">
        <x:v>家具表面涂饰</x:v>
      </x:c>
      <x:c r="E93" s="4" t="str">
        <x:v>保留</x:v>
      </x:c>
      <x:c r="F93" s="4" t="str"/>
      <x:c r="G93" s="4" t="str">
        <x:v>3012023</x:v>
      </x:c>
      <x:c r="H93" s="4" t="str">
        <x:v>Pintura en aerosol imprimación Spectrum gris mate</x:v>
      </x:c>
      <x:c r="I93" s="4" t="str">
        <x:v>related_type</x:v>
      </x:c>
      <x:c r="J93" s="4" t="str">
        <x:v>喷漆与Action喷涂涂料为相关DIY材料，不把复古效果当旧家具</x:v>
      </x:c>
      <x:c r="K93" s="4" t="str">
        <x:v>配方、附着和通风要求未知</x:v>
      </x:c>
      <x:c r="L93" s="4" t="str">
        <x:v>https://www.amazon.es/SPSIL-Spray-Pintura-Cer%C3%A1mica-Imprimaci%C3%B3n-Colores/dp/B0GDFRQMBC?psc=1</x:v>
      </x:c>
      <x:c r="M93" s="4" t="str">
        <x:v>B0_84bacc4c6b66_018132</x:v>
      </x:c>
      <x:c r="N93" s="4" t="str">
        <x:v>c8b4152b1a8523564b9dbc701e671a4b7aa4c8a6743e1ca04ffa433910f3b725</x:v>
      </x:c>
      <x:c r="O93" s="8"/>
      <x:c r="P93" s="8"/>
      <x:c r="Q93" s="8"/>
      <x:c r="R93" s="8"/>
    </x:row>
    <x:row r="94" ht="90" customHeight="1">
      <x:c r="A94" s="4" t="str">
        <x:v>P090</x:v>
      </x:c>
      <x:c r="B94" s="4" t="str">
        <x:v>VEVOR Bomba Sumergible de Aguas Residuales 550W 0,75HP Bomba de Agua Sumergible Flujo Máximo de 158 L/min Bomba de Agua Sucia Elevación Máxima de 7,5m para Bombear Agua de Piscinas, Sótanos</x:v>
      </x:c>
      <x:c r="C94" s="4" t="str">
        <x:v>污水潜水泵</x:v>
      </x:c>
      <x:c r="D94" s="4" t="str">
        <x:v>排出积水</x:v>
      </x:c>
      <x:c r="E94" s="4" t="str">
        <x:v>观察</x:v>
      </x:c>
      <x:c r="F94" s="4" t="str">
        <x:v>经营边界未确认</x:v>
      </x:c>
      <x:c r="G94" s="4" t="str"/>
      <x:c r="H94" s="4" t="str"/>
      <x:c r="I94" s="4" t="str">
        <x:v>none</x:v>
      </x:c>
      <x:c r="J94" s="4" t="str">
        <x:v>水泵主体明确，不是水泵钳；用途为排水，未证明大型工业设备</x:v>
      </x:c>
      <x:c r="K94" s="4" t="str">
        <x:v>流量扬程及安装范围未验证</x:v>
      </x:c>
      <x:c r="L94" s="4" t="str">
        <x:v>https://www.amazon.es/VEVOR-Sumergible-Residuales-Elevaci%C3%B3n-Estanques/dp/B0BSGR7BPH?psc=1</x:v>
      </x:c>
      <x:c r="M94" s="4" t="str">
        <x:v>B0_84bacc4c6b66_021045</x:v>
      </x:c>
      <x:c r="N94" s="4" t="str">
        <x:v>9c8b732a74dd251aeb6a38fc5dad56ff758a963366031ec37828961893c1e761</x:v>
      </x:c>
      <x:c r="O94" s="8"/>
      <x:c r="P94" s="8"/>
      <x:c r="Q94" s="8"/>
      <x:c r="R94" s="8"/>
    </x:row>
    <x:row r="95" ht="90" customHeight="1">
      <x:c r="A95" s="4" t="str">
        <x:v>P091</x:v>
      </x:c>
      <x:c r="B95" s="4" t="str">
        <x:v>Nostalgia Máquina de Palomitas de Maíz Eléctrica de Aire Caliente, 2 Litros, Palomitas Saludables sin Aceite con Cucharilla Medidora, Rojo Retro</x:v>
      </x:c>
      <x:c r="C95" s="4" t="str">
        <x:v>电动爆米花机</x:v>
      </x:c>
      <x:c r="D95" s="4" t="str">
        <x:v>制作爆米花</x:v>
      </x:c>
      <x:c r="E95" s="4" t="str">
        <x:v>观察</x:v>
      </x:c>
      <x:c r="F95" s="4" t="str">
        <x:v>经营边界未确认</x:v>
      </x:c>
      <x:c r="G95" s="4" t="str">
        <x:v>3207549</x:v>
      </x:c>
      <x:c r="H95" s="4" t="str">
        <x:v>Máquina de palomitas George Wilkinson</x:v>
      </x:c>
      <x:c r="I95" s="4" t="str">
        <x:v>same_type</x:v>
      </x:c>
      <x:c r="J95" s="4" t="str">
        <x:v>明确整机有Action同类，热风不等于热风枪</x:v>
      </x:c>
      <x:c r="K95" s="4" t="str">
        <x:v>容量、加热及安全未知</x:v>
      </x:c>
      <x:c r="L95" s="4" t="str">
        <x:v>https://www.amazon.es/Nostalgia-Electrics-Popcorn-Electric-California/dp/B001CJKM24/ref=sr_1_4051?dib=eyJ2IjoiMSJ9.DLY8r0uSUT7I-WDMGTxq3FTB7VP7kafYOgw25-idFRXnT0A8T18eytamQcgqAv4cVhaq_xP19KvEGX0wTlbciyOqS0FXIagD0YipqlUdXvTmJOk3Hz48m0FLlLchxJGH8JUdckNfhmgwxJdFyL0J7EAz6MId1vH9tP7QUZ0k9HIUiN4E-AkzZKm8X4wJXTTjg3lme_rie0nE-oGY-yTb0AtJME1p4leMjRkK01TPoZ3I7LASl_VBhtndq1K61_ZyceUwCYRkjL3Uo1S-Kyg07eEXRqp23OqI-cLdgl4eX_M._BXdRgDQCm2JrMd4H6r95JGT_vORvNDd6vYZ-zIqolo&amp;dib_tag=se&amp;qid=1792600630&amp;s=kitchen&amp;sr=1-4051&amp;srs=88626813031&amp;xpid=CeuYXw3Vdr0Bg</x:v>
      </x:c>
      <x:c r="M95" s="4" t="str">
        <x:v>B0_84bacc4c6b66_014363</x:v>
      </x:c>
      <x:c r="N95" s="4" t="str">
        <x:v>bd4d6f331fdc4ec7f47298511788481febb34c14cb888b84340f09a00ac3049c</x:v>
      </x:c>
      <x:c r="O95" s="8"/>
      <x:c r="P95" s="8"/>
      <x:c r="Q95" s="8"/>
      <x:c r="R95" s="8"/>
    </x:row>
    <x:row r="96" ht="90" customHeight="1">
      <x:c r="A96" s="4" t="str">
        <x:v>P092</x:v>
      </x:c>
      <x:c r="B96" s="4" t="str">
        <x:v>Lamondre 20 ganchos adhesivos autoadhesivos, resistentes al agua, ganchos multiusos para toallas, abrigos, llaves y utensilios de cocina, transparentes</x:v>
      </x:c>
      <x:c r="C96" s="4" t="str">
        <x:v>自粘多用挂钩</x:v>
      </x:c>
      <x:c r="D96" s="4" t="str">
        <x:v>悬挂日常物品</x:v>
      </x:c>
      <x:c r="E96" s="4" t="str">
        <x:v>保留</x:v>
      </x:c>
      <x:c r="F96" s="4" t="str"/>
      <x:c r="G96" s="4" t="str">
        <x:v>2568437</x:v>
      </x:c>
      <x:c r="H96" s="4" t="str">
        <x:v>Ganchos Tesa</x:v>
      </x:c>
      <x:c r="I96" s="4" t="str">
        <x:v>same_type</x:v>
      </x:c>
      <x:c r="J96" s="4" t="str">
        <x:v>销售挂钩，衣物厨具是被挂物；安装需求不自动变专业配件</x:v>
      </x:c>
      <x:c r="K96" s="4" t="str">
        <x:v>粘附防水及承重未知</x:v>
      </x:c>
      <x:c r="L96" s="4" t="str">
        <x:v>https://www.amazon.es/Lamondre-autoadhesivos-resistentes-utensilios-transparentes/dp/B0GWLL6NN6?psc=1</x:v>
      </x:c>
      <x:c r="M96" s="4" t="str">
        <x:v>B0_84bacc4c6b66_012012</x:v>
      </x:c>
      <x:c r="N96" s="4" t="str">
        <x:v>5b3d898c525fb0d811fae9d0dec8ac0bdca06b956227f88884f435746401e1ef</x:v>
      </x:c>
      <x:c r="O96" s="8"/>
      <x:c r="P96" s="8"/>
      <x:c r="Q96" s="8"/>
      <x:c r="R96" s="8"/>
    </x:row>
    <x:row r="97" ht="90" customHeight="1">
      <x:c r="A97" s="4" t="str">
        <x:v>P093</x:v>
      </x:c>
      <x:c r="B97" s="4" t="str">
        <x:v>HITSLAM Alfombra de Baño Antideslizante de Espuma Viscoelástica, 40 x 60cm Alfombrilla Baño Absorbente, Lavable a Máquina, Secado Rápido, Suave y Cómoda, Gris Oscuro</x:v>
      </x:c>
      <x:c r="C97" s="4" t="str">
        <x:v>记忆泡沫浴室垫</x:v>
      </x:c>
      <x:c r="D97" s="4" t="str">
        <x:v>浴室地面铺设</x:v>
      </x:c>
      <x:c r="E97" s="4" t="str">
        <x:v>保留</x:v>
      </x:c>
      <x:c r="F97" s="4" t="str"/>
      <x:c r="G97" s="4" t="str">
        <x:v>3217046</x:v>
      </x:c>
      <x:c r="H97" s="4" t="str">
        <x:v>Alfombrilla de baño de espuma viscoelástica</x:v>
      </x:c>
      <x:c r="I97" s="4" t="str">
        <x:v>same_type</x:v>
      </x:c>
      <x:c r="J97" s="4" t="str">
        <x:v>浴垫与Action记忆泡沫垫同类，机洗不是机器主体</x:v>
      </x:c>
      <x:c r="K97" s="4" t="str">
        <x:v>防滑和吸水未验证</x:v>
      </x:c>
      <x:c r="L97" s="4" t="str">
        <x:v>https://www.amazon.es/HITSLAM-Antideslizante-Viscoel%C3%A1stica-Alfombrilla-Absorbente/dp/B0DQXPKMPZ?psc=1</x:v>
      </x:c>
      <x:c r="M97" s="4" t="str">
        <x:v>B0_84bacc4c6b66_009040</x:v>
      </x:c>
      <x:c r="N97" s="4" t="str">
        <x:v>89a9bc41da48b46d42baa74e62a5c35c45c6663d126e33d33a33aa318336f8f4</x:v>
      </x:c>
      <x:c r="O97" s="8"/>
      <x:c r="P97" s="8"/>
      <x:c r="Q97" s="8"/>
      <x:c r="R97" s="8"/>
    </x:row>
    <x:row r="98" ht="90" customHeight="1">
      <x:c r="A98" s="4" t="str">
        <x:v>P094</x:v>
      </x:c>
      <x:c r="B98" s="4" t="str">
        <x:v>PowerPaste Gel – Pegamento Instantáneo de Cianocrilato Extra Fuerte 3x3g | Super Glue Multiuso: Plástico, Madera, Metal, Cerámica, Cristal, Cuero y Goma | Resistente al Agua | Tapón Anti-Secado</x:v>
      </x:c>
      <x:c r="C98" s="4" t="str">
        <x:v>瞬干胶</x:v>
      </x:c>
      <x:c r="D98" s="4" t="str">
        <x:v>粘合日用材料</x:v>
      </x:c>
      <x:c r="E98" s="4" t="str">
        <x:v>保留</x:v>
      </x:c>
      <x:c r="F98" s="4" t="str"/>
      <x:c r="G98" s="4" t="str">
        <x:v>2548454</x:v>
      </x:c>
      <x:c r="H98" s="4" t="str">
        <x:v>Pegamento instantáneo Tesa</x:v>
      </x:c>
      <x:c r="I98" s="4" t="str">
        <x:v>same_type</x:v>
      </x:c>
      <x:c r="J98" s="4" t="str">
        <x:v>普通瞬干胶有真实同类参照，适用材料不是销售主体</x:v>
      </x:c>
      <x:c r="K98" s="4" t="str">
        <x:v>强度、耐水及操作安全未知</x:v>
      </x:c>
      <x:c r="L98" s="4" t="str">
        <x:v>https://www.amazon.es/PowerPaste-Gel-Instant%C3%A1neo-Cianocrilato-Anti-Secado/dp/B0HK9BW5TY?psc=1</x:v>
      </x:c>
      <x:c r="M98" s="4" t="str">
        <x:v>B0_84bacc4c6b66_016119</x:v>
      </x:c>
      <x:c r="N98" s="4" t="str">
        <x:v>a2d7cfb91789e2a673d7d4fa528cf28efd38d950f6deba3e680eb58b87e2f364</x:v>
      </x:c>
      <x:c r="O98" s="8"/>
      <x:c r="P98" s="8"/>
      <x:c r="Q98" s="8"/>
      <x:c r="R98" s="8"/>
    </x:row>
    <x:row r="99" ht="90" customHeight="1">
      <x:c r="A99" s="4" t="str">
        <x:v>P095</x:v>
      </x:c>
      <x:c r="B99" s="4" t="str">
        <x:v>Amazon Basics Somier fijo plegable, montaje sin herramientas, permite almacenar debajo de la cama, 90 x 200 cm, 35.5 cm, Negro</x:v>
      </x:c>
      <x:c r="C99" s="4" t="str">
        <x:v>可折叠床架底座</x:v>
      </x:c>
      <x:c r="D99" s="4" t="str">
        <x:v>支撑床垫</x:v>
      </x:c>
      <x:c r="E99" s="4" t="str">
        <x:v>观察</x:v>
      </x:c>
      <x:c r="F99" s="4" t="str">
        <x:v>经营边界未确认</x:v>
      </x:c>
      <x:c r="G99" s="4" t="str"/>
      <x:c r="H99" s="4" t="str"/>
      <x:c r="I99" s="4" t="str">
        <x:v>none</x:v>
      </x:c>
      <x:c r="J99" s="4" t="str">
        <x:v>明确床架而非床垫，完整家具先研究；折叠椅不是同类</x:v>
      </x:c>
      <x:c r="K99" s="4" t="str">
        <x:v>承重与装配未知</x:v>
      </x:c>
      <x:c r="L99" s="4" t="str">
        <x:v>https://www.amazon.es/Amazon-Basics-plegable-herramientas-almacenar/dp/B07QL8WVPL/ref=sr_1_972?dib=eyJ2IjoiMSJ9.jdks631raPg8g8wtyMqUcVY0UfXbQw2xo7b4Es6tvPIvC30iAwrPv4JYxoOaXjah7SY2_S_7xX9I5eXhxRkwD3-pQ7UEEfdOW1zyCL4YrYzohyhHFN6tRrGCNWOjSitBzE2v7HSNdRVaEBsezHswDbXL9P-SiovLgL0uq1aDfQhIn44FsCnnEicCKpUA-VBnVsXMQ4O647zizPtIrGVGBqC-NCO_uxuVZyGiBNP3mT_K-TL5HIIOR9XWfFEl7qs_xjhSDrarKDnJyTUQs0SH5fgvpWvqSSAln5I-eh2ALKk.VKuhr2dIMeRDAthMtaQyeDYfER04h9ubGApMPFwMWUg&amp;dib_tag=se&amp;qid=1792597421&amp;s=kitchen&amp;sr=1-972&amp;srs=88626813031&amp;xpid=CeuYXw3Vdr0Bg</x:v>
      </x:c>
      <x:c r="M99" s="4" t="str">
        <x:v>B0_84bacc4c6b66_001446</x:v>
      </x:c>
      <x:c r="N99" s="4" t="str">
        <x:v>9432a8c971f10229627ef81507a9c4f356a3e5b9806e0462a4291a57719e203d</x:v>
      </x:c>
      <x:c r="O99" s="8"/>
      <x:c r="P99" s="8"/>
      <x:c r="Q99" s="8"/>
      <x:c r="R99" s="8"/>
    </x:row>
    <x:row r="100" ht="90" customHeight="1">
      <x:c r="A100" s="4" t="str">
        <x:v>P096</x:v>
      </x:c>
      <x:c r="B100" s="4" t="str">
        <x:v>Electraline 25148 - H07V-K Cable, Sección 1 x 2.5 mm, 5m, multicolor</x:v>
      </x:c>
      <x:c r="C100" s="4" t="str">
        <x:v>电气安装导线</x:v>
      </x:c>
      <x:c r="D100" s="4" t="str">
        <x:v>连接电路</x:v>
      </x:c>
      <x:c r="E100" s="4" t="str">
        <x:v>观察</x:v>
      </x:c>
      <x:c r="F100" s="4" t="str">
        <x:v>专用或安装配件</x:v>
      </x:c>
      <x:c r="G100" s="4" t="str"/>
      <x:c r="H100" s="4" t="str"/>
      <x:c r="I100" s="4" t="str">
        <x:v>none</x:v>
      </x:c>
      <x:c r="J100" s="4" t="str">
        <x:v>型号和线截面支持电线类型，不是HDMI或充电线</x:v>
      </x:c>
      <x:c r="K100" s="4" t="str">
        <x:v>导体材质、额定值及安装条件未知</x:v>
      </x:c>
      <x:c r="L100" s="4" t="str">
        <x:v>https://www.amazon.es/Electraline-25148-Secci%C3%B3n-Amarillo-amarillo/dp/B00IJCW82Y?psc=1</x:v>
      </x:c>
      <x:c r="M100" s="4" t="str">
        <x:v>B0_84bacc4c6b66_006849</x:v>
      </x:c>
      <x:c r="N100" s="4" t="str">
        <x:v>0444b8d0b5393fbf9b5b69ed73147143ae52f714c482afc640a9c6a060579544</x:v>
      </x:c>
      <x:c r="O100" s="8"/>
      <x:c r="P100" s="8"/>
      <x:c r="Q100" s="8"/>
      <x:c r="R100" s="8"/>
    </x:row>
    <x:row r="101" ht="90" customHeight="1">
      <x:c r="A101" s="4" t="str">
        <x:v>P097</x:v>
      </x:c>
      <x:c r="B101" s="4" t="str">
        <x:v>Nespresso De'Longhi Pixie EN127.BL, Máquina de Café en Cápsulas, Espresso y Café Lungo, Modo ECO, Diseño Compacto, Sistema de Presión de 19 Bares, Pack de Bienvenida Incluido, 1260W, Blue</x:v>
      </x:c>
      <x:c r="C101" s="4" t="str">
        <x:v>胶囊咖啡机</x:v>
      </x:c>
      <x:c r="D101" s="4" t="str">
        <x:v>冲煮胶囊咖啡</x:v>
      </x:c>
      <x:c r="E101" s="4" t="str">
        <x:v>观察</x:v>
      </x:c>
      <x:c r="F101" s="4" t="str">
        <x:v>经营边界未确认</x:v>
      </x:c>
      <x:c r="G101" s="4" t="str">
        <x:v>3214353</x:v>
      </x:c>
      <x:c r="H101" s="4" t="str">
        <x:v>Cafetera espresso</x:v>
      </x:c>
      <x:c r="I101" s="4" t="str">
        <x:v>related_type</x:v>
      </x:c>
      <x:c r="J101" s="4" t="str">
        <x:v>咖啡机而非胶囊耗材，Action浓缩机相关但未证明同胶囊体系</x:v>
      </x:c>
      <x:c r="K101" s="4" t="str">
        <x:v>胶囊兼容及压力声称未知</x:v>
      </x:c>
      <x:c r="L101" s="4" t="str">
        <x:v>https://www.amazon.es/Nespresso-DeLonghi-EN127-BL-C%C3%A1psulas-Bienvenida/dp/B0CQPM89H9/ref=sr_1_1135?dib=eyJ2IjoiMSJ9._6XJZ5gY7G8AkaMn3jEcG5eeJcrXuZlx9AzLodr2_Yv7z-omiV6bqPyl3DB6ZEfJetLt1YgN4Ogr_5Ll1sXi049gFdOuhK8GNzeQHi0XsKw9n1Iu1vd6z39eLQ98bHbsoE7Vs9vMcSY1xYT9vefgpkkBZR-4Ez4lYuDmZfSGnpnP9unsTkeXaG8suuI2Ro9wE38vRS197Elb2FzmBXQHCKJywL9id-YPcYA-WICBWEMDA5CHXWP3Kh-COTcWLh-ZvekBUi1fqNJx_dGseOMw_3GlAWvB_FR7wx7HH3p_gIE.3KhWjbV79aKT2TJNQIJ9P3YUsHX35-6BgoMgU6ziVEA&amp;dib_tag=se&amp;qid=1792649770&amp;s=kitchen&amp;sr=1-1135&amp;srs=88626813031&amp;xpid=qpnO31ULD-dQ4</x:v>
      </x:c>
      <x:c r="M101" s="4" t="str">
        <x:v>B0_84bacc4c6b66_014177</x:v>
      </x:c>
      <x:c r="N101" s="4" t="str">
        <x:v>527411864df38e26f8934fd1fa8d245d26e13914465bbc16a7f70fbcaf6fd2b8</x:v>
      </x:c>
      <x:c r="O101" s="8"/>
      <x:c r="P101" s="8"/>
      <x:c r="Q101" s="8"/>
      <x:c r="R101" s="8"/>
    </x:row>
    <x:row r="102" ht="90" customHeight="1">
      <x:c r="A102" s="4" t="str">
        <x:v>P098</x:v>
      </x:c>
      <x:c r="B102" s="4" t="str">
        <x:v>Mispudin 8 Piezas 100ml botes cristal pequeños, mini botellas de cristal, Mini Botella Cristal Pequeña, shots botellitas, botes pequeños de cristal para Rellenar Reutilizables para Jugos</x:v>
      </x:c>
      <x:c r="C102" s="4" t="str">
        <x:v>小型玻璃分装瓶</x:v>
      </x:c>
      <x:c r="D102" s="4" t="str">
        <x:v>分装饮品</x:v>
      </x:c>
      <x:c r="E102" s="4" t="str">
        <x:v>保留</x:v>
      </x:c>
      <x:c r="F102" s="4" t="str"/>
      <x:c r="G102" s="4" t="str">
        <x:v>3200949</x:v>
      </x:c>
      <x:c r="H102" s="4" t="str">
        <x:v>Botella</x:v>
      </x:c>
      <x:c r="I102" s="4" t="str">
        <x:v>same_type</x:v>
      </x:c>
      <x:c r="J102" s="4" t="str">
        <x:v>瓶子为主体，Action瓶具可同类参照，不推定耐热</x:v>
      </x:c>
      <x:c r="K102" s="4" t="str">
        <x:v>瓶盖和接触安全未知</x:v>
      </x:c>
      <x:c r="L102" s="4" t="str">
        <x:v>https://www.amazon.es/Mispudin-peque%C3%B1os-botellas-botellitas-Reutilizables/dp/B0D7VJQN2R?psc=1</x:v>
      </x:c>
      <x:c r="M102" s="4" t="str">
        <x:v>B0_84bacc4c6b66_013529</x:v>
      </x:c>
      <x:c r="N102" s="4" t="str">
        <x:v>38dee8d2c4dd81b2b56459379566ca59de04af491f71e97f5496d4e397b2cb00</x:v>
      </x:c>
      <x:c r="O102" s="8"/>
      <x:c r="P102" s="8"/>
      <x:c r="Q102" s="8"/>
      <x:c r="R102" s="8"/>
    </x:row>
    <x:row r="103" ht="90" customHeight="1">
      <x:c r="A103" s="4" t="str">
        <x:v>P099</x:v>
      </x:c>
      <x:c r="B103" s="4" t="str">
        <x:v>Recogedor de Polvo para Amoladora de 125 mm con Cubierta Antipolvo para Hormigón, Rozadora Pared con aspiradora - Kit Completo para un Trabajo Impecable</x:v>
      </x:c>
      <x:c r="C103" s="4" t="str">
        <x:v>角磨机集尘罩附件</x:v>
      </x:c>
      <x:c r="D103" s="4" t="str">
        <x:v>收集磨削粉尘</x:v>
      </x:c>
      <x:c r="E103" s="4" t="str">
        <x:v>观察</x:v>
      </x:c>
      <x:c r="F103" s="4" t="str">
        <x:v>专用或安装配件</x:v>
      </x:c>
      <x:c r="G103" s="4" t="str"/>
      <x:c r="H103" s="4" t="str"/>
      <x:c r="I103" s="4" t="str">
        <x:v>none</x:v>
      </x:c>
      <x:c r="J103" s="4" t="str">
        <x:v>集尘罩是角磨机附件，标题的吸尘器关联不证明随附整机</x:v>
      </x:c>
      <x:c r="K103" s="4" t="str">
        <x:v>完整供货范围及机型适配未知</x:v>
      </x:c>
      <x:c r="L103" s="4" t="str">
        <x:v>https://www.amazon.es/Recogedor-Amoladora-125-Antipolvo-aspiradora/dp/B0H6ZT57HK?psc=1</x:v>
      </x:c>
      <x:c r="M103" s="4" t="str">
        <x:v>B0_84bacc4c6b66_016986</x:v>
      </x:c>
      <x:c r="N103" s="4" t="str">
        <x:v>707aa923b9f8ef36cbb69de99a2a92df88d0ae5d14619b0917f6282995002f67</x:v>
      </x:c>
      <x:c r="O103" s="8"/>
      <x:c r="P103" s="8"/>
      <x:c r="Q103" s="8"/>
      <x:c r="R103" s="8"/>
    </x:row>
    <x:row r="104" ht="90" customHeight="1">
      <x:c r="A104" s="4" t="str">
        <x:v>P100</x:v>
      </x:c>
      <x:c r="B104" s="4" t="str">
        <x:v>Utopia Towels - Toallitas de algodón de Lujo, toallitas 30x30 cm, Blanco | Toallitas de algodón 100 % hilado en anillo, muy absorbentes</x:v>
      </x:c>
      <x:c r="C104" s="4" t="str">
        <x:v>棉质小方巾</x:v>
      </x:c>
      <x:c r="D104" s="4" t="str">
        <x:v>日常擦拭清洁</x:v>
      </x:c>
      <x:c r="E104" s="4" t="str">
        <x:v>保留</x:v>
      </x:c>
      <x:c r="F104" s="4" t="str"/>
      <x:c r="G104" s="4" t="str">
        <x:v>2504202</x:v>
      </x:c>
      <x:c r="H104" s="4" t="str">
        <x:v>Toalla de manos Capetown</x:v>
      </x:c>
      <x:c r="I104" s="4" t="str">
        <x:v>related_type</x:v>
      </x:c>
      <x:c r="J104" s="4" t="str">
        <x:v>30cm棉质方巾属于可用纺织巾，不是预湿化学湿巾；与Action手巾相关</x:v>
      </x:c>
      <x:c r="K104" s="4" t="str">
        <x:v>用途适配与纤维声称未验证</x:v>
      </x:c>
      <x:c r="L104" s="4" t="str">
        <x:v>https://www.amazon.es/Toallitas-algod%C3%B3n-paquete-Utopia-Towels/dp/B009FR73XG?psc=1</x:v>
      </x:c>
      <x:c r="M104" s="4" t="str">
        <x:v>B0_84bacc4c6b66_020159</x:v>
      </x:c>
      <x:c r="N104" s="4" t="str">
        <x:v>613ad8544cd574bbdb0587a214b51f1419c3916af81901f67e06ba47b71721b2</x:v>
      </x:c>
      <x:c r="O104" s="8"/>
      <x:c r="P104" s="8"/>
      <x:c r="Q104" s="8"/>
      <x:c r="R104" s="8"/>
    </x:row>
    <x:row r="105" ht="90" customHeight="1">
      <x:c r="A105" s="4" t="str">
        <x:v>P101</x:v>
      </x:c>
      <x:c r="B105" s="4" t="str">
        <x:v>MayMax Limpiador de Tapiceria y Sofas Multiusos sin Agua - Formula en Seco que Elimina Manchas de Tejidos en Minutos y los Deja Limpios y Listos para Usar</x:v>
      </x:c>
      <x:c r="C105" s="4" t="str">
        <x:v>布艺干洗清洁剂</x:v>
      </x:c>
      <x:c r="D105" s="4" t="str">
        <x:v>处理布艺污渍</x:v>
      </x:c>
      <x:c r="E105" s="4" t="str">
        <x:v>保留</x:v>
      </x:c>
      <x:c r="F105" s="4" t="str"/>
      <x:c r="G105" s="4" t="str">
        <x:v>1326911</x:v>
      </x:c>
      <x:c r="H105" s="4" t="str">
        <x:v>Limpiador de tapicería C&amp;C</x:v>
      </x:c>
      <x:c r="I105" s="4" t="str">
        <x:v>same_type</x:v>
      </x:c>
      <x:c r="J105" s="4" t="str">
        <x:v>配方和干洗描述说明清洁剂，不是清洗机；有真实Action布艺清洁剂</x:v>
      </x:c>
      <x:c r="K105" s="4" t="str">
        <x:v>去渍效果与面料适用未知</x:v>
      </x:c>
      <x:c r="L105" s="4" t="str">
        <x:v>https://www.amazon.es/MayMax-Limpiador-Tapiceria-Sofas-Multiusos/dp/B0969MVXVL?psc=1</x:v>
      </x:c>
      <x:c r="M105" s="4" t="str">
        <x:v>B0_84bacc4c6b66_013223</x:v>
      </x:c>
      <x:c r="N105" s="4" t="str">
        <x:v>f638a580a24bc4b2c6880f7dea2aa037bf9595374fda6041a71780bf3c4cee0d</x:v>
      </x:c>
      <x:c r="O105" s="8"/>
      <x:c r="P105" s="8"/>
      <x:c r="Q105" s="8"/>
      <x:c r="R105" s="8"/>
    </x:row>
    <x:row r="106" ht="90" customHeight="1">
      <x:c r="A106" s="4" t="str">
        <x:v>P102</x:v>
      </x:c>
      <x:c r="B106" s="4" t="str">
        <x:v>Adiwo Humidificadore, 1.8L Humidificador de Silencioso para Bebes, Doble Cámara con Pantalla de Humedad Inteligente, Tres Modos, con Luz Nocturna y Lámpara Esterilizadora UV, Alimentado por USB</x:v>
      </x:c>
      <x:c r="C106" s="4" t="str">
        <x:v>室内加湿器</x:v>
      </x:c>
      <x:c r="D106" s="4" t="str">
        <x:v>增加室内空气湿度</x:v>
      </x:c>
      <x:c r="E106" s="4" t="str">
        <x:v>观察</x:v>
      </x:c>
      <x:c r="F106" s="4" t="str">
        <x:v>经营边界未确认</x:v>
      </x:c>
      <x:c r="G106" s="4" t="str"/>
      <x:c r="H106" s="4" t="str"/>
      <x:c r="I106" s="4" t="str">
        <x:v>none</x:v>
      </x:c>
      <x:c r="J106" s="4" t="str">
        <x:v>加湿器主体明确，夜灯与UV是附加声称，不是单售灯具</x:v>
      </x:c>
      <x:c r="K106" s="4" t="str">
        <x:v>灭菌、噪声及适龄声称未验证</x:v>
      </x:c>
      <x:c r="L106" s="4" t="str">
        <x:v>https://www.amazon.es/Adiwo-Humidificadore-Humidificador-Inteligente-Esterilizadora/dp/B0F7QTTNNH?psc=1</x:v>
      </x:c>
      <x:c r="M106" s="4" t="str">
        <x:v>B0_84bacc4c6b66_000855</x:v>
      </x:c>
      <x:c r="N106" s="4" t="str">
        <x:v>a49dae4340a7cff66c0e0449b816f5ddb8c4fcf455954547d812f3a26bd40df8</x:v>
      </x:c>
      <x:c r="O106" s="8"/>
      <x:c r="P106" s="8"/>
      <x:c r="Q106" s="8"/>
      <x:c r="R106" s="8"/>
    </x:row>
    <x:row r="107" ht="90" customHeight="1">
      <x:c r="A107" s="4" t="str">
        <x:v>P103</x:v>
      </x:c>
      <x:c r="B107" s="4" t="str">
        <x:v>ANTETOK Palitos para remover café y té, hechos de madera de abedul, desechables, suaves, para bebidas calientes, 100 unidades, 19,05 cm, 190 mm, sin envoltura</x:v>
      </x:c>
      <x:c r="C107" s="4" t="str">
        <x:v>饮品搅拌棒</x:v>
      </x:c>
      <x:c r="D107" s="4" t="str">
        <x:v>搅拌咖啡和茶</x:v>
      </x:c>
      <x:c r="E107" s="4" t="str">
        <x:v>观察</x:v>
      </x:c>
      <x:c r="F107" s="4" t="str">
        <x:v>缺少有效Action参照</x:v>
      </x:c>
      <x:c r="G107" s="4" t="str"/>
      <x:c r="H107" s="4" t="str"/>
      <x:c r="I107" s="4" t="str">
        <x:v>none</x:v>
      </x:c>
      <x:c r="J107" s="4" t="str">
        <x:v>搅拌木棒是餐饮耗材，不是玩具茶具或装饰木棒；未找到明确同类</x:v>
      </x:c>
      <x:c r="K107" s="4" t="str">
        <x:v>食品接触和尺寸未知</x:v>
      </x:c>
      <x:c r="L107" s="4" t="str">
        <x:v>https://www.amazon.es/Palillos-madera-desechables-para-unidades/dp/B07CZ9B4ML/ref=sr_1_3010?dib=eyJ2IjoiMSJ9.Q-J6DCUvqfi5FPlMPav1txZnYdaO2tstIZ1bYPiG0mUrMw8BK7AKGQvDihKaMP6lUCGbxyl3ifoCjLkkB161B3PXf5hSsSdeyZ7MeEs3C8EDEmTuRMPpjs2zinCVmVQCqFQIsOli-EBzcqkHco4z6mvnRQ1dyd5P63l21PVXYdHreeBnTSzmCRnKMXMBqGbNS-fBxZ-y8hrQQUBtwpyhX0lUCAPVCaVuSBQRmcAyrdYUpzQyZCGOXglF96U1vBS47v3xNNG5-7xHrasCPf0eQnwDyIwJofWIXUa9XQJ08Sg.mOXgEp6mP8Pq7Rhq5_B1USJElzl6D2Ik1vvKFv7BQpc&amp;dib_tag=se&amp;qid=1792599368&amp;s=kitchen&amp;sr=1-3010&amp;srs=88626813031&amp;xpid=CeuYXw3Vdr0Bg</x:v>
      </x:c>
      <x:c r="M107" s="4" t="str">
        <x:v>B0_84bacc4c6b66_015319</x:v>
      </x:c>
      <x:c r="N107" s="4" t="str">
        <x:v>3bbec8ead26e2c336cb4d3833a3e5d472e88031250952d59075feae1e1e9e249</x:v>
      </x:c>
      <x:c r="O107" s="8"/>
      <x:c r="P107" s="8"/>
      <x:c r="Q107" s="8"/>
      <x:c r="R107" s="8"/>
    </x:row>
    <x:row r="108" ht="90" customHeight="1">
      <x:c r="A108" s="4" t="str">
        <x:v>P104</x:v>
      </x:c>
      <x:c r="B108" s="4" t="str">
        <x:v>LÄSSIG Fiambrera para niños de acero inoxidable Fiambrera para el desayuno sostenible para el jardín de infancia/Lunchbox Adventure Bus</x:v>
      </x:c>
      <x:c r="C108" s="4" t="str">
        <x:v>儿童饭盒</x:v>
      </x:c>
      <x:c r="D108" s="4" t="str">
        <x:v>携带早餐及食物</x:v>
      </x:c>
      <x:c r="E108" s="4" t="str">
        <x:v>保留</x:v>
      </x:c>
      <x:c r="F108" s="4" t="str"/>
      <x:c r="G108" s="4" t="str">
        <x:v>3002315</x:v>
      </x:c>
      <x:c r="H108" s="4" t="str">
        <x:v>Fiambrera</x:v>
      </x:c>
      <x:c r="I108" s="4" t="str">
        <x:v>same_type</x:v>
      </x:c>
      <x:c r="J108" s="4" t="str">
        <x:v>饭盒主体与Action同类，巴士为主题，不推定保温功能</x:v>
      </x:c>
      <x:c r="K108" s="4" t="str">
        <x:v>材质、密封和儿童安全未知</x:v>
      </x:c>
      <x:c r="L108" s="4" t="str">
        <x:v>https://www.amazon.es/L%C3%A4ssig-1210029462-Fiambrera-inoxidable-stainless/dp/B081RX5SY6?psc=1</x:v>
      </x:c>
      <x:c r="M108" s="4" t="str">
        <x:v>B0_84bacc4c6b66_011658</x:v>
      </x:c>
      <x:c r="N108" s="4" t="str">
        <x:v>fef8a981fab366c7027e0a2154e8b3adc8fab24463d7def6dca813640418a33f</x:v>
      </x:c>
      <x:c r="O108" s="8"/>
      <x:c r="P108" s="8"/>
      <x:c r="Q108" s="8"/>
      <x:c r="R108" s="8"/>
    </x:row>
    <x:row r="109" ht="90" customHeight="1">
      <x:c r="A109" s="4" t="str">
        <x:v>P105</x:v>
      </x:c>
      <x:c r="B109" s="4" t="str">
        <x:v>Clips para Bolsas de Alimentos 36 Unidades 3 Tamaños Multicolor | Cierre reutilizable para conservar el contenido de bolsas de snacks cereales café pan y alimentos congelados</x:v>
      </x:c>
      <x:c r="C109" s="4" t="str">
        <x:v>食品袋封口夹</x:v>
      </x:c>
      <x:c r="D109" s="4" t="str">
        <x:v>关闭食品袋</x:v>
      </x:c>
      <x:c r="E109" s="4" t="str">
        <x:v>保留</x:v>
      </x:c>
      <x:c r="F109" s="4" t="str"/>
      <x:c r="G109" s="4" t="str">
        <x:v>3208545</x:v>
      </x:c>
      <x:c r="H109" s="4" t="str">
        <x:v>Pinzas para cerrar bolsas de conservas</x:v>
      </x:c>
      <x:c r="I109" s="4" t="str">
        <x:v>same_type</x:v>
      </x:c>
      <x:c r="J109" s="4" t="str">
        <x:v>封口夹是主体而不是食品袋，Action封袋夹直接同类</x:v>
      </x:c>
      <x:c r="K109" s="4" t="str">
        <x:v>密封效果和尺寸未知</x:v>
      </x:c>
      <x:c r="L109" s="4" t="str">
        <x:v>https://www.amazon.es/Alimentos-Multicolor-reutilizable-conservar-congelados/dp/B0HCCHYCM9?psc=1</x:v>
      </x:c>
      <x:c r="M109" s="4" t="str">
        <x:v>B0_84bacc4c6b66_001128</x:v>
      </x:c>
      <x:c r="N109" s="4" t="str">
        <x:v>e751a15e1d95eded2fc61baad67b5516f0d50376d01bb9b39b24904821ceae79</x:v>
      </x:c>
      <x:c r="O109" s="8"/>
      <x:c r="P109" s="8"/>
      <x:c r="Q109" s="8"/>
      <x:c r="R109" s="8"/>
    </x:row>
    <x:row r="110" ht="90" customHeight="1">
      <x:c r="A110" s="4" t="str">
        <x:v>P106</x:v>
      </x:c>
      <x:c r="B110" s="4" t="str">
        <x:v>Transformador de encendido para FIDA MOD.26/40 50% PM para quemador</x:v>
      </x:c>
      <x:c r="C110" s="4" t="str">
        <x:v>燃烧器点火变压器</x:v>
      </x:c>
      <x:c r="D110" s="4" t="str">
        <x:v>为燃烧器点火提供电气转换</x:v>
      </x:c>
      <x:c r="E110" s="4" t="str">
        <x:v>观察</x:v>
      </x:c>
      <x:c r="F110" s="4" t="str">
        <x:v>专用或安装配件</x:v>
      </x:c>
      <x:c r="G110" s="4" t="str"/>
      <x:c r="H110" s="4" t="str"/>
      <x:c r="I110" s="4" t="str">
        <x:v>none</x:v>
      </x:c>
      <x:c r="J110" s="4" t="str">
        <x:v>点火变压器为设备部件，不是引火剂或完整燃烧器</x:v>
      </x:c>
      <x:c r="K110" s="4" t="str">
        <x:v>电气参数及设备适配未知</x:v>
      </x:c>
      <x:c r="L110" s="4" t="str">
        <x:v>https://www.amazon.es/Transformador-encendido-para-MOD-26-quemador/dp/B0CLZL6HM8?psc=1</x:v>
      </x:c>
      <x:c r="M110" s="4" t="str">
        <x:v>B0_84bacc4c6b66_020324</x:v>
      </x:c>
      <x:c r="N110" s="4" t="str">
        <x:v>b5096ba85dbea871a42026c480781dfcc18aed43619656b86294c58d842fa7f9</x:v>
      </x:c>
      <x:c r="O110" s="8"/>
      <x:c r="P110" s="8"/>
      <x:c r="Q110" s="8"/>
      <x:c r="R110" s="8"/>
    </x:row>
    <x:row r="111" ht="90" customHeight="1">
      <x:c r="A111" s="4" t="str">
        <x:v>P107</x:v>
      </x:c>
      <x:c r="B111" s="4" t="str">
        <x:v>fischer - Tacos fischer Duopower 6x30 para Hormigón, Compatible con Placas de Yeso PLADUR®, Ladrillo o Piedra. Sirve para Colgar Muebles de Televisión, Estanterías, Cuadros, Armarios, etc. (750 uds)</x:v>
      </x:c>
      <x:c r="C111" s="4" t="str">
        <x:v>墙体锚栓</x:v>
      </x:c>
      <x:c r="D111" s="4" t="str">
        <x:v>固定挂装物品</x:v>
      </x:c>
      <x:c r="E111" s="4" t="str">
        <x:v>保留</x:v>
      </x:c>
      <x:c r="F111" s="4" t="str"/>
      <x:c r="G111" s="4" t="str">
        <x:v>3012299</x:v>
      </x:c>
      <x:c r="H111" s="4" t="str">
        <x:v>Tacos Fischer Profi-Box SX</x:v>
      </x:c>
      <x:c r="I111" s="4" t="str">
        <x:v>same_type</x:v>
      </x:c>
      <x:c r="J111" s="4" t="str">
        <x:v>锚栓和安装基面明确，家具是被固定物，不是销售家具</x:v>
      </x:c>
      <x:c r="K111" s="4" t="str">
        <x:v>基面适用和承载未知</x:v>
      </x:c>
      <x:c r="L111" s="4" t="str">
        <x:v>https://www.amazon.es/fischer-Bote-Duopower-6X30-557383/dp/B089MQ7LH6?psc=1</x:v>
      </x:c>
      <x:c r="M111" s="4" t="str">
        <x:v>B0_84bacc4c6b66_023924</x:v>
      </x:c>
      <x:c r="N111" s="4" t="str">
        <x:v>bdeb1c40d7a7d1793662cc6b243bb05a06cdbe7283492c0e30cda211fd791b59</x:v>
      </x:c>
      <x:c r="O111" s="8"/>
      <x:c r="P111" s="8"/>
      <x:c r="Q111" s="8"/>
      <x:c r="R111" s="8"/>
    </x:row>
    <x:row r="112" ht="90" customHeight="1">
      <x:c r="A112" s="4" t="str">
        <x:v>P108</x:v>
      </x:c>
      <x:c r="B112" s="4" t="str">
        <x:v>AIRMATE 63cm Calefactor Torre Bajo Consumo, 2000W Calefactor Cerámico Bajo Consumo con Oscilación 80°, 24H Heater Protección Sobrecalentamiento y Vuelco Calefactor Aire Caliente Eléctrico Dormitorios</x:v>
      </x:c>
      <x:c r="C112" s="4" t="str">
        <x:v>塔式电取暖器</x:v>
      </x:c>
      <x:c r="D112" s="4" t="str">
        <x:v>室内取暖</x:v>
      </x:c>
      <x:c r="E112" s="4" t="str">
        <x:v>观察</x:v>
      </x:c>
      <x:c r="F112" s="4" t="str">
        <x:v>经营边界未确认</x:v>
      </x:c>
      <x:c r="G112" s="4" t="str">
        <x:v>2580178</x:v>
      </x:c>
      <x:c r="H112" s="4" t="str">
        <x:v>Calentador eléctrico FERM</x:v>
      </x:c>
      <x:c r="I112" s="4" t="str">
        <x:v>related_type</x:v>
      </x:c>
      <x:c r="J112" s="4" t="str">
        <x:v>塔式暖风器明确，与Action电取暖器相关，不由低能耗声称推定性能</x:v>
      </x:c>
      <x:c r="K112" s="4" t="str">
        <x:v>节能、噪声与安全未知</x:v>
      </x:c>
      <x:c r="L112" s="4" t="str">
        <x:v>https://www.amazon.es/AIRMATE-Calefactor-Oscilaci%C3%B3n-Sobrecalentamiento-Dormitorios/dp/B0FM815FFV?psc=1</x:v>
      </x:c>
      <x:c r="M112" s="4" t="str">
        <x:v>B0_84bacc4c6b66_000299</x:v>
      </x:c>
      <x:c r="N112" s="4" t="str">
        <x:v>32e08b22352b7e5f7820ad05ed15609160369cf0e96bd58a8e0aff724af24729</x:v>
      </x:c>
      <x:c r="O112" s="8"/>
      <x:c r="P112" s="8"/>
      <x:c r="Q112" s="8"/>
      <x:c r="R112" s="8"/>
    </x:row>
    <x:row r="113" ht="90" customHeight="1">
      <x:c r="A113" s="4" t="str">
        <x:v>P109</x:v>
      </x:c>
      <x:c r="B113" s="4" t="str">
        <x:v>VEVOR Sistema de Alarma de Cama a Adultos Mayores 35,6 x 76 cm Almohadilla de Sensor de Cama Inalámbrica con Buscapersonas Almohadilla de Prevención de Caídas para Hogar, Centro Rehabilitación</x:v>
      </x:c>
      <x:c r="C113" s="4" t="str">
        <x:v>床垫感应报警套装</x:v>
      </x:c>
      <x:c r="D113" s="4" t="str">
        <x:v>提示离床活动</x:v>
      </x:c>
      <x:c r="E113" s="4" t="str">
        <x:v>观察</x:v>
      </x:c>
      <x:c r="F113" s="4" t="str">
        <x:v>经营边界未确认</x:v>
      </x:c>
      <x:c r="G113" s="4" t="str"/>
      <x:c r="H113" s="4" t="str"/>
      <x:c r="I113" s="4" t="str">
        <x:v>none</x:v>
      </x:c>
      <x:c r="J113" s="4" t="str">
        <x:v>传感垫与呼叫器构成照护报警系统，不是灯具；不能保证预防跌倒</x:v>
      </x:c>
      <x:c r="K113" s="4" t="str">
        <x:v>医疗用途边界和实际报警能力未知</x:v>
      </x:c>
      <x:c r="L113" s="4" t="str">
        <x:v>https://www.amazon.es/VEVOR-Almohadilla-Inal%C3%A1mbrica-Buscapersonas-Rehabilitaci%C3%B3n/dp/B0F1F57PT3?psc=1</x:v>
      </x:c>
      <x:c r="M113" s="4" t="str">
        <x:v>B0_84bacc4c6b66_020973</x:v>
      </x:c>
      <x:c r="N113" s="4" t="str">
        <x:v>d83fcbba7485e82692a2440fdc7e04b1db47fc44256f38ca5a14924d50dbf3ac</x:v>
      </x:c>
      <x:c r="O113" s="8"/>
      <x:c r="P113" s="8"/>
      <x:c r="Q113" s="8"/>
      <x:c r="R113" s="8"/>
    </x:row>
    <x:row r="114" ht="90" customHeight="1">
      <x:c r="A114" s="4" t="str">
        <x:v>P110</x:v>
      </x:c>
      <x:c r="B114" s="4" t="str">
        <x:v>Philips Ledinaire - Pantalla Estanca LED 1200 mm, 30 W, 3600 lm, Luz Natural Fría 6500 K, Haz 120°, Óptica Simétrica, Difusor Opal, IP66, IK08, Clase II</x:v>
      </x:c>
      <x:c r="C114" s="4" t="str">
        <x:v>防护型LED长条灯具</x:v>
      </x:c>
      <x:c r="D114" s="4" t="str">
        <x:v>空间照明</x:v>
      </x:c>
      <x:c r="E114" s="4" t="str">
        <x:v>观察</x:v>
      </x:c>
      <x:c r="F114" s="4" t="str">
        <x:v>经营边界未确认</x:v>
      </x:c>
      <x:c r="G114" s="4" t="str">
        <x:v>3216801</x:v>
      </x:c>
      <x:c r="H114" s="4" t="str">
        <x:v>Barra de luz led Baltimore</x:v>
      </x:c>
      <x:c r="I114" s="4" t="str">
        <x:v>related_type</x:v>
      </x:c>
      <x:c r="J114" s="4" t="str">
        <x:v>Pantalla在灯光参数语境是灯具，非显示器；Action灯条只相关</x:v>
      </x:c>
      <x:c r="K114" s="4" t="str">
        <x:v>防护等级、布线和安装未知</x:v>
      </x:c>
      <x:c r="L114" s="4" t="str">
        <x:v>https://www.amazon.es/Philips-Ledinaire-Pantalla-Estanca-Sim%C3%A9trica/dp/B09676ZMNN?psc=1</x:v>
      </x:c>
      <x:c r="M114" s="4" t="str">
        <x:v>B0_84bacc4c6b66_015668</x:v>
      </x:c>
      <x:c r="N114" s="4" t="str">
        <x:v>7674c3d96576106fa42a286d39a4dc2c532b7ffef4b645616570d7d09c1f133c</x:v>
      </x:c>
      <x:c r="O114" s="8"/>
      <x:c r="P114" s="8"/>
      <x:c r="Q114" s="8"/>
      <x:c r="R114" s="8"/>
    </x:row>
    <x:row r="115" ht="90" customHeight="1">
      <x:c r="A115" s="4" t="str">
        <x:v>P111</x:v>
      </x:c>
      <x:c r="B115" s="4" t="str">
        <x:v>Cecotec Climatizador Evaporativo EnergySilence 3500 Cool Compact. 65 W, Depósito 3,5 L, 3 Velocidades, Oscilación de 70º, Ruedas multidireccionales, Incluye 2 Enfriadores</x:v>
      </x:c>
      <x:c r="C115" s="4" t="str">
        <x:v>蒸发式冷风机</x:v>
      </x:c>
      <x:c r="D115" s="4" t="str">
        <x:v>室内送风降温</x:v>
      </x:c>
      <x:c r="E115" s="4" t="str">
        <x:v>观察</x:v>
      </x:c>
      <x:c r="F115" s="4" t="str">
        <x:v>经营边界未确认</x:v>
      </x:c>
      <x:c r="G115" s="4" t="str">
        <x:v>3215453</x:v>
      </x:c>
      <x:c r="H115" s="4" t="str">
        <x:v>Enfriador de aire Nedis</x:v>
      </x:c>
      <x:c r="I115" s="4" t="str">
        <x:v>related_type</x:v>
      </x:c>
      <x:c r="J115" s="4" t="str">
        <x:v>蒸发冷风机不是压缩式分体空调，Action冷风器为相关参照</x:v>
      </x:c>
      <x:c r="K115" s="4" t="str">
        <x:v>降温效果及耗水未知</x:v>
      </x:c>
      <x:c r="L115" s="4" t="str">
        <x:v>https://www.amazon.es/Cecotec-Climatizador-Evaporativo-EnergySilence-multidireccionales/dp/B0BQ1D6RHJ?psc=1</x:v>
      </x:c>
      <x:c r="M115" s="4" t="str">
        <x:v>B0_84bacc4c6b66_004338</x:v>
      </x:c>
      <x:c r="N115" s="4" t="str">
        <x:v>51ebbf0496b725896166c3a5ba8276ed66ca2e759114579469cc872aa0fb76e4</x:v>
      </x:c>
      <x:c r="O115" s="8"/>
      <x:c r="P115" s="8"/>
      <x:c r="Q115" s="8"/>
      <x:c r="R115" s="8"/>
    </x:row>
    <x:row r="116" ht="90" customHeight="1">
      <x:c r="A116" s="4" t="str">
        <x:v>P112</x:v>
      </x:c>
      <x:c r="B116" s="4" t="str">
        <x:v>100 x Hojas de papel A4 de tono - 220 g/m² de papel - Cartón de tono negro, papel para manualidades y cartón para manualidades para manualidades y creación - Papel negro</x:v>
      </x:c>
      <x:c r="C116" s="4" t="str">
        <x:v>黑色手工纸卡</x:v>
      </x:c>
      <x:c r="D116" s="4" t="str">
        <x:v>剪贴及手工制作</x:v>
      </x:c>
      <x:c r="E116" s="4" t="str">
        <x:v>保留</x:v>
      </x:c>
      <x:c r="F116" s="4" t="str"/>
      <x:c r="G116" s="4" t="str">
        <x:v>3207056</x:v>
      </x:c>
      <x:c r="H116" s="4" t="str">
        <x:v>Hojas para manualidades A4</x:v>
      </x:c>
      <x:c r="I116" s="4" t="str">
        <x:v>related_type</x:v>
      </x:c>
      <x:c r="J116" s="4" t="str">
        <x:v>手工纸卡明确，与Action手工纸相关，不推断承重或耐水</x:v>
      </x:c>
      <x:c r="K116" s="4" t="str">
        <x:v>纸重及尺寸未验证</x:v>
      </x:c>
      <x:c r="L116" s="4" t="str">
        <x:v>https://www.amazon.es/hojas-papel-cartulina-negra-manualidades/dp/B0GG7H444D?psc=1</x:v>
      </x:c>
      <x:c r="M116" s="4" t="str">
        <x:v>B0_84bacc4c6b66_024044</x:v>
      </x:c>
      <x:c r="N116" s="4" t="str">
        <x:v>55906c16f278d03413d855ef931fe9b5cef7d5000e3d51d06dba23143161dc13</x:v>
      </x:c>
      <x:c r="O116" s="8"/>
      <x:c r="P116" s="8"/>
      <x:c r="Q116" s="8"/>
      <x:c r="R116" s="8"/>
    </x:row>
    <x:row r="117" ht="90" customHeight="1">
      <x:c r="A117" s="4" t="str">
        <x:v>P113</x:v>
      </x:c>
      <x:c r="B117" s="4" t="str">
        <x:v>Limpiador de alta presión, limpiador de alta presión con batería, limpiador de alta presión inalámbrico con 2 baterías y manguera de 5 m, pistola de alta presión para lavado y riego de coche</x:v>
      </x:c>
      <x:c r="C117" s="4" t="str">
        <x:v>电池式高压清洗机</x:v>
      </x:c>
      <x:c r="D117" s="4" t="str">
        <x:v>清洗表面和车辆</x:v>
      </x:c>
      <x:c r="E117" s="4" t="str">
        <x:v>观察</x:v>
      </x:c>
      <x:c r="F117" s="4" t="str">
        <x:v>经营边界未确认</x:v>
      </x:c>
      <x:c r="G117" s="4" t="str"/>
      <x:c r="H117" s="4" t="str"/>
      <x:c r="I117" s="4" t="str">
        <x:v>none</x:v>
      </x:c>
      <x:c r="J117" s="4" t="str">
        <x:v>电池、软管和喷枪支持清洗机器，不是清洁剂；动力工具范围待定</x:v>
      </x:c>
      <x:c r="K117" s="4" t="str">
        <x:v>压力、水源和电池性能未知</x:v>
      </x:c>
      <x:c r="L117" s="4" t="str">
        <x:v>https://www.amazon.es/Limpiador-limpiador-inal%C3%A1mbrico-bater%C3%ADas-manguera/dp/B0H4VJQDL7?psc=1</x:v>
      </x:c>
      <x:c r="M117" s="4" t="str">
        <x:v>B0_84bacc4c6b66_012314</x:v>
      </x:c>
      <x:c r="N117" s="4" t="str">
        <x:v>a0f4da255d6b649f0d7ed23cccb509084bbd81cdfc8f70dcacc97f7d2461f286</x:v>
      </x:c>
      <x:c r="O117" s="8"/>
      <x:c r="P117" s="8"/>
      <x:c r="Q117" s="8"/>
      <x:c r="R117" s="8"/>
    </x:row>
    <x:row r="118" ht="90" customHeight="1">
      <x:c r="A118" s="4" t="str">
        <x:v>P114</x:v>
      </x:c>
      <x:c r="B118" s="4" t="str">
        <x:v>LXUEJIE 208 Piezas de Letras de Madera Pequeñas, 15mm Letras Decorativas de Madera Letras de Madera para Manualidades Letras Decorativas Mayúsculas A-Z para Artesanía DIY Educación Infantil</x:v>
      </x:c>
      <x:c r="C118" s="4" t="str">
        <x:v>木制手工字母</x:v>
      </x:c>
      <x:c r="D118" s="4" t="str">
        <x:v>拼贴装饰及字母学习</x:v>
      </x:c>
      <x:c r="E118" s="4" t="str">
        <x:v>保留</x:v>
      </x:c>
      <x:c r="F118" s="4" t="str"/>
      <x:c r="G118" s="4" t="str">
        <x:v>3200364</x:v>
      </x:c>
      <x:c r="H118" s="4" t="str">
        <x:v>Letras de madera Hobby Flora</x:v>
      </x:c>
      <x:c r="I118" s="4" t="str">
        <x:v>same_type</x:v>
      </x:c>
      <x:c r="J118" s="4" t="str">
        <x:v>木字母与Action同类，幼儿教育只是用途，不证明适龄</x:v>
      </x:c>
      <x:c r="K118" s="4" t="str">
        <x:v>尺寸、涂层与适龄未知</x:v>
      </x:c>
      <x:c r="L118" s="4" t="str">
        <x:v>https://www.amazon.es/LXUEJIE-Decorativas-Manualidades-May%C3%BAsculas-Artesan%C3%ADa/dp/B0FJ2CP8B4?psc=1</x:v>
      </x:c>
      <x:c r="M118" s="4" t="str">
        <x:v>B0_84bacc4c6b66_011967</x:v>
      </x:c>
      <x:c r="N118" s="4" t="str">
        <x:v>7969a8603f5bee0d63824803894349aec56d60c585b2990236c2244bb91a7c00</x:v>
      </x:c>
      <x:c r="O118" s="8"/>
      <x:c r="P118" s="8"/>
      <x:c r="Q118" s="8"/>
      <x:c r="R118" s="8"/>
    </x:row>
    <x:row r="119" ht="90" customHeight="1">
      <x:c r="A119" s="4" t="str">
        <x:v>P115</x:v>
      </x:c>
      <x:c r="B119" s="4" t="str">
        <x:v>JSMTKJ 24 mini linternas, llaveros en forma de linterna mini lámpara de juguete práctico para niños Linterna Portátil Mini Llavero Linterna para Cumpleaños, Regalos, Navidad Regalos de Fiesta</x:v>
      </x:c>
      <x:c r="C119" s="4" t="str">
        <x:v>迷你钥匙扣手电</x:v>
      </x:c>
      <x:c r="D119" s="4" t="str">
        <x:v>便携照明与派对小礼品</x:v>
      </x:c>
      <x:c r="E119" s="4" t="str">
        <x:v>保留</x:v>
      </x:c>
      <x:c r="F119" s="4" t="str"/>
      <x:c r="G119" s="4" t="str">
        <x:v>3002463</x:v>
      </x:c>
      <x:c r="H119" s="4" t="str">
        <x:v>Linterna</x:v>
      </x:c>
      <x:c r="I119" s="4" t="str">
        <x:v>related_type</x:v>
      </x:c>
      <x:c r="J119" s="4" t="str">
        <x:v>小手电为实际主体，儿童赠礼场景不等于已验证儿童玩具</x:v>
      </x:c>
      <x:c r="K119" s="4" t="str">
        <x:v>电池及适龄安全未知</x:v>
      </x:c>
      <x:c r="L119" s="4" t="str">
        <x:v>https://www.amazon.es/JSMTKJ-linternas-llaveros-linterna-Cumplea%C3%B1os/dp/B0CKH564FT?psc=1</x:v>
      </x:c>
      <x:c r="M119" s="4" t="str">
        <x:v>B0_84bacc4c6b66_010649</x:v>
      </x:c>
      <x:c r="N119" s="4" t="str">
        <x:v>bd03c229f91667ed360d294fca5641e14271a7b8f0073c6b4103ace5006cc01e</x:v>
      </x:c>
      <x:c r="O119" s="8"/>
      <x:c r="P119" s="8"/>
      <x:c r="Q119" s="8"/>
      <x:c r="R119" s="8"/>
    </x:row>
    <x:row r="120" ht="90" customHeight="1">
      <x:c r="A120" s="4" t="str">
        <x:v>P116</x:v>
      </x:c>
      <x:c r="B120" s="4" t="str">
        <x:v>Der Rose Paquete de 4 pequeñas Plantas Artificiales Artificiales para Interiores con Flores, Decoraciones de Primavera para el hogar, habitación, Granja, Escritorio, casa, decoración de Baño</x:v>
      </x:c>
      <x:c r="C120" s="4" t="str">
        <x:v>小型仿真植物套装</x:v>
      </x:c>
      <x:c r="D120" s="4" t="str">
        <x:v>室内装饰</x:v>
      </x:c>
      <x:c r="E120" s="4" t="str">
        <x:v>保留</x:v>
      </x:c>
      <x:c r="F120" s="4" t="str"/>
      <x:c r="G120" s="4" t="str">
        <x:v>3222349</x:v>
      </x:c>
      <x:c r="H120" s="4" t="str">
        <x:v>Planta artificial</x:v>
      </x:c>
      <x:c r="I120" s="4" t="str">
        <x:v>same_type</x:v>
      </x:c>
      <x:c r="J120" s="4" t="str">
        <x:v>人造植物明确，不补成活体或花盆材质</x:v>
      </x:c>
      <x:c r="K120" s="4" t="str">
        <x:v>具体花型及组件未知</x:v>
      </x:c>
      <x:c r="L120" s="4" t="str">
        <x:v>https://www.amazon.es/Rose-paquetes-artificiales-habitaci%C3%B3n-decoraci%C3%B3n/dp/B0BHR69GHK/ref=sr_1_2016?dib=eyJ2IjoiMSJ9.Dy_tvHJnNzxWjnYjqJkNlEyNuIY52K1uU8hiP4jwizF8XmMXa82ZO8NEFt3zDMqTIFXgjj22nNn5Fw9UIX4od8lk_RnaLVMRNJ9Z1I49nU3pGPZ1tPhYDqMelWgnkBKo6kW9ZCX4OiOfTtisqN5fp2rcA0TP6JioXCQhT7nCOE9qa7vCjYTK_G9jO2hx8hAVK6HgZECpiXP3S6Z-ouPN_reryMkQQqsUgvXOlocw8hAb32tIQ3JJaaaxCpPZ-aUDWvhaAgeq2KXyF45hPqxuQf9hZe9A60CIpsnIunoT1SI.MC0clQwUK-qPLSxvsXWm6EqCDjwgkuQ8KvU5y2zq-Lk&amp;dib_tag=se&amp;qid=1792650502&amp;s=kitchen&amp;sr=1-2016&amp;srs=88626813031&amp;xpid=qpnO31ULD-dQ4</x:v>
      </x:c>
      <x:c r="M120" s="4" t="str">
        <x:v>B0_84bacc4c6b66_017397</x:v>
      </x:c>
      <x:c r="N120" s="4" t="str">
        <x:v>bc4c9a01590a3023f1dd54295a435555631ef03e16dabbd2dbe3da226d8a95c4</x:v>
      </x:c>
      <x:c r="O120" s="8"/>
      <x:c r="P120" s="8"/>
      <x:c r="Q120" s="8"/>
      <x:c r="R120" s="8"/>
    </x:row>
    <x:row r="121" ht="90" customHeight="1">
      <x:c r="A121" s="4" t="str">
        <x:v>P117</x:v>
      </x:c>
      <x:c r="B121" s="4" t="str">
        <x:v>LEXIBOOK, Unicornio Reloj Despertador Luz Nocturna, RL800UNI</x:v>
      </x:c>
      <x:c r="C121" s="4" t="str">
        <x:v>带夜灯闹钟</x:v>
      </x:c>
      <x:c r="D121" s="4" t="str">
        <x:v>定时叫醒与夜间照明</x:v>
      </x:c>
      <x:c r="E121" s="4" t="str">
        <x:v>保留</x:v>
      </x:c>
      <x:c r="F121" s="4" t="str"/>
      <x:c r="G121" s="4" t="str">
        <x:v>3215569</x:v>
      </x:c>
      <x:c r="H121" s="4" t="str">
        <x:v>Reloj despertador</x:v>
      </x:c>
      <x:c r="I121" s="4" t="str">
        <x:v>same_type</x:v>
      </x:c>
      <x:c r="J121" s="4" t="str">
        <x:v>闹钟主体明确，独角兽是外形主题；Action闹钟为同类</x:v>
      </x:c>
      <x:c r="K121" s="4" t="str">
        <x:v>电源、灯效和适龄未知</x:v>
      </x:c>
      <x:c r="L121" s="4" t="str">
        <x:v>https://www.amazon.es/LEXIBOOK-Lexibook-RL800UNI-Despertador-Unicornio-Pantalla/dp/B07QJJP8YL/ref=sr_1_3419?dib=eyJ2IjoiMSJ9.uitF4bvt0TXXNWa7vl0LTzg3vVV5cojBiBCNR5oEO7LbjxOQyxU7eQsfKMbEHkHXi1JaSj-kBKXfoYUcVyIjO1rgiKpmJ3Z7axpEOyd0weSRi30NL2Zs5NG2QMe8kTDkSc7TeixqwrQXG8p1XmZxhkr214Is-L5ukc-CpMbqsD7yZPK8nvO87kofzxpv-SAauoXHDDkIOZq2M_y2-JEOY1_izGHWZXXZeiBO3xHfxUb5gblEou4qVToZ5Z35xIJmKEx35X6c01m07I9V7v20zUYJdvcfcQSPdNG1v8TLIGA.e-CS3GYJecVBzx9460WnUxcb6GwTkPTIrtlvZJ3TVmE&amp;dib_tag=se&amp;qid=1792599844&amp;s=kitchen&amp;sr=1-3419&amp;srs=88626813031&amp;xpid=CeuYXw3Vdr0Bg</x:v>
      </x:c>
      <x:c r="M121" s="4" t="str">
        <x:v>B0_84bacc4c6b66_011831</x:v>
      </x:c>
      <x:c r="N121" s="4" t="str">
        <x:v>a1927b5fd06263fd47bd348f74fcfbf7bb3906af9d0b212cb6acef9cbe267854</x:v>
      </x:c>
      <x:c r="O121" s="8"/>
      <x:c r="P121" s="8"/>
      <x:c r="Q121" s="8"/>
      <x:c r="R121" s="8"/>
    </x:row>
    <x:row r="122" ht="90" customHeight="1">
      <x:c r="A122" s="4" t="str">
        <x:v>P118</x:v>
      </x:c>
      <x:c r="B122" s="4" t="str">
        <x:v>Cinta fina de satén dorado champán de 91 m x 6 mm, cinta dorada delgada de 1/5 pulgadas para envolver regalos, boda, coche, árbol de Navidad, cumpleaños, pastel, lazo para el pelo, florista</x:v>
      </x:c>
      <x:c r="C122" s="4" t="str">
        <x:v>细装饰缎带</x:v>
      </x:c>
      <x:c r="D122" s="4" t="str">
        <x:v>礼品包装及打结装饰</x:v>
      </x:c>
      <x:c r="E122" s="4" t="str">
        <x:v>保留</x:v>
      </x:c>
      <x:c r="F122" s="4" t="str"/>
      <x:c r="G122" s="4" t="str">
        <x:v>3214783</x:v>
      </x:c>
      <x:c r="H122" s="4" t="str">
        <x:v>Cinta de regalo</x:v>
      </x:c>
      <x:c r="I122" s="4" t="str">
        <x:v>same_type</x:v>
      </x:c>
      <x:c r="J122" s="4" t="str">
        <x:v>礼品装饰带与Action同类，使用场景不成为商品主体</x:v>
      </x:c>
      <x:c r="K122" s="4" t="str">
        <x:v>材质和长度未验证</x:v>
      </x:c>
      <x:c r="L122" s="4" t="str">
        <x:v>https://www.amazon.es/Navidad-envolver-decoraci%C3%B3n-cupcakes-manualidades/dp/B0DFGY9MD8?psc=1</x:v>
      </x:c>
      <x:c r="M122" s="4" t="str">
        <x:v>B0_84bacc4c6b66_014117</x:v>
      </x:c>
      <x:c r="N122" s="4" t="str">
        <x:v>8b6e1b8ae5f7147d8312caf49751f87b14390aa59c6e3c6cbf4495c90b4e2fd5</x:v>
      </x:c>
      <x:c r="O122" s="8"/>
      <x:c r="P122" s="8"/>
      <x:c r="Q122" s="8"/>
      <x:c r="R122" s="8"/>
    </x:row>
    <x:row r="123" ht="90" customHeight="1">
      <x:c r="A123" s="4" t="str">
        <x:v>P119</x:v>
      </x:c>
      <x:c r="B123" s="4" t="str">
        <x:v>Dispensador de agua eléctrico con 3 salidas, 425 W, color blanco | Máquina automática para beber agua caliente y fría, dispensador de agua de pie, calentamiento rápido, para casa, oficina</x:v>
      </x:c>
      <x:c r="C123" s="4" t="str">
        <x:v>立式冷热饮水机</x:v>
      </x:c>
      <x:c r="D123" s="4" t="str">
        <x:v>分配冷热饮用水</x:v>
      </x:c>
      <x:c r="E123" s="4" t="str">
        <x:v>观察</x:v>
      </x:c>
      <x:c r="F123" s="4" t="str">
        <x:v>经营边界未确认</x:v>
      </x:c>
      <x:c r="G123" s="4" t="str">
        <x:v>3217699</x:v>
      </x:c>
      <x:c r="H123" s="4" t="str">
        <x:v>Dispensador de agua caliente Tomado</x:v>
      </x:c>
      <x:c r="I123" s="4" t="str">
        <x:v>related_type</x:v>
      </x:c>
      <x:c r="J123" s="4" t="str">
        <x:v>饮水机与Action热水分配器相关，但不等于固定生活热水器</x:v>
      </x:c>
      <x:c r="K123" s="4" t="str">
        <x:v>供水方式、制冷及安装未知</x:v>
      </x:c>
      <x:c r="L123" s="4" t="str">
        <x:v>https://www.amazon.es/Dispensador-el%C3%A9ctrico-autom%C3%A1tica-dispensador-calentamiento/dp/B0HMRFZV93?psc=1</x:v>
      </x:c>
      <x:c r="M123" s="4" t="str">
        <x:v>B0_84bacc4c6b66_006279</x:v>
      </x:c>
      <x:c r="N123" s="4" t="str">
        <x:v>7ae8719b3a7c3e8616d06013fe8f6cadd80b7ac93af50eca77e83893f4179ae0</x:v>
      </x:c>
      <x:c r="O123" s="8"/>
      <x:c r="P123" s="8"/>
      <x:c r="Q123" s="8"/>
      <x:c r="R123" s="8"/>
    </x:row>
    <x:row r="124" ht="90" customHeight="1">
      <x:c r="A124" s="4" t="str">
        <x:v>P120</x:v>
      </x:c>
      <x:c r="B124" s="4" t="str">
        <x:v>Organizador de cuchillos de 3 niveles con 22 compartimentos para cuchillos de bolsillo, caja de exhibición personalizada para coleccionistas y hombres, para almacenar varios cuchillos</x:v>
      </x:c>
      <x:c r="C124" s="4" t="str">
        <x:v>折刀收藏收纳盒</x:v>
      </x:c>
      <x:c r="D124" s="4" t="str">
        <x:v>收纳和展示折刀</x:v>
      </x:c>
      <x:c r="E124" s="4" t="str">
        <x:v>观察</x:v>
      </x:c>
      <x:c r="F124" s="4" t="str">
        <x:v>经营边界未确认</x:v>
      </x:c>
      <x:c r="G124" s="4" t="str"/>
      <x:c r="H124" s="4" t="str"/>
      <x:c r="I124" s="4" t="str">
        <x:v>none</x:v>
      </x:c>
      <x:c r="J124" s="4" t="str">
        <x:v>收纳盒而非刀具，收藏专用保管范围尚未明确；不把旧枪柜判断直接套用</x:v>
      </x:c>
      <x:c r="K124" s="4" t="str">
        <x:v>内部配置与经营取舍未知</x:v>
      </x:c>
      <x:c r="L124" s="4" t="str">
        <x:v>https://www.amazon.es/Organizador-compartimentos-exhibici%C3%B3n-personalizada-coleccionistas/dp/B0H9XW3FNV?psc=1</x:v>
      </x:c>
      <x:c r="M124" s="4" t="str">
        <x:v>B0_84bacc4c6b66_014864</x:v>
      </x:c>
      <x:c r="N124" s="4" t="str">
        <x:v>5f5047b7b5f909b9212c6e8aa834003c631df4bb636087873260c24c86829dfc</x:v>
      </x:c>
      <x:c r="O124" s="8"/>
      <x:c r="P124" s="8"/>
      <x:c r="Q124" s="8"/>
      <x:c r="R124" s="8"/>
    </x:row>
    <x:row r="125" ht="90" customHeight="1">
      <x:c r="A125" s="4" t="str">
        <x:v>P121</x:v>
      </x:c>
      <x:c r="B125" s="4" t="str">
        <x:v>PAVSTINE Soporte Mando con Compartimentos, Organizador Mandos Grande | Organizador Mandos Grande, Organizador de Escritorio para TV, DVD, Porta Mandos de TV Mesa para Bolígrafos, Blanco</x:v>
      </x:c>
      <x:c r="C125" s="4" t="str">
        <x:v>桌面遥控器整理盒</x:v>
      </x:c>
      <x:c r="D125" s="4" t="str">
        <x:v>收纳遥控器和笔</x:v>
      </x:c>
      <x:c r="E125" s="4" t="str">
        <x:v>保留</x:v>
      </x:c>
      <x:c r="F125" s="4" t="str"/>
      <x:c r="G125" s="4" t="str">
        <x:v>3216460</x:v>
      </x:c>
      <x:c r="H125" s="4" t="str">
        <x:v>Organizador de escritorio</x:v>
      </x:c>
      <x:c r="I125" s="4" t="str">
        <x:v>related_type</x:v>
      </x:c>
      <x:c r="J125" s="4" t="str">
        <x:v>桌面分格整理盒与Action桌面整理器相关；旧磁吸支架人工排除不泛化本品</x:v>
      </x:c>
      <x:c r="K125" s="4" t="str">
        <x:v>隔间和适配尺寸未知</x:v>
      </x:c>
      <x:c r="L125" s="4" t="str">
        <x:v>https://www.amazon.es/PAVSTINE-Compartimentos-Organizador-Escritorio-Bol%C3%ADgrafos/dp/B0FP4XHWNC?psc=1</x:v>
      </x:c>
      <x:c r="M125" s="4" t="str">
        <x:v>B0_84bacc4c6b66_015013</x:v>
      </x:c>
      <x:c r="N125" s="4" t="str">
        <x:v>5507b65b2fee9c536a433d741c6e4544d82fa3465898ad7e6c4a4761dd1476f3</x:v>
      </x:c>
      <x:c r="O125" s="8"/>
      <x:c r="P125" s="8"/>
      <x:c r="Q125" s="8"/>
      <x:c r="R125" s="8"/>
    </x:row>
    <x:row r="126" ht="90" customHeight="1">
      <x:c r="A126" s="4" t="str">
        <x:v>P122</x:v>
      </x:c>
      <x:c r="B126" s="4" t="str">
        <x:v>HOTUT Tetera de Vidrio de Borosilicato, Tetera de 550 ml con Filtro de Infusión de Acero Inoxidable, Tetera de Vidrio con Cafetera Extraíble, Perfecta para Té y Café</x:v>
      </x:c>
      <x:c r="C126" s="4" t="str">
        <x:v>带滤器玻璃茶壶</x:v>
      </x:c>
      <x:c r="D126" s="4" t="str">
        <x:v>泡茶和盛饮品</x:v>
      </x:c>
      <x:c r="E126" s="4" t="str">
        <x:v>保留</x:v>
      </x:c>
      <x:c r="F126" s="4" t="str"/>
      <x:c r="G126" s="4" t="str">
        <x:v>3217829</x:v>
      </x:c>
      <x:c r="H126" s="4" t="str">
        <x:v>Tetera de vidrio con filtro</x:v>
      </x:c>
      <x:c r="I126" s="4" t="str">
        <x:v>same_type</x:v>
      </x:c>
      <x:c r="J126" s="4" t="str">
        <x:v>茶壶和滤器主体与Action同类，Cafetera描述混杂不补成电咖啡机</x:v>
      </x:c>
      <x:c r="K126" s="4" t="str">
        <x:v>耐热和容量未知</x:v>
      </x:c>
      <x:c r="L126" s="4" t="str">
        <x:v>https://www.amazon.es/HOTUT-Transparente-Cristal-Inoxidable-Resistente/dp/B0DSBYW7KC?psc=1</x:v>
      </x:c>
      <x:c r="M126" s="4" t="str">
        <x:v>B0_84bacc4c6b66_009258</x:v>
      </x:c>
      <x:c r="N126" s="4" t="str">
        <x:v>808ff6957fc8ff74bd00136f0178e58867403383840e57e242f0e2465d329cf4</x:v>
      </x:c>
      <x:c r="O126" s="8"/>
      <x:c r="P126" s="8"/>
      <x:c r="Q126" s="8"/>
      <x:c r="R126" s="8"/>
    </x:row>
    <x:row r="127" ht="90" customHeight="1">
      <x:c r="A127" s="4" t="str">
        <x:v>P123</x:v>
      </x:c>
      <x:c r="B127" s="4" t="str">
        <x:v>HYCKee Juego de 48 tarros redondos para mermelada con tapa dorada, 100 ml | Tarros de mermelada redondos de 100 ml, tapa dorada, herméticos, tarros de miel, especias, regalo, etiquetas de bricolaje</x:v>
      </x:c>
      <x:c r="C127" s="4" t="str">
        <x:v>带盖果酱罐</x:v>
      </x:c>
      <x:c r="D127" s="4" t="str">
        <x:v>储存食品</x:v>
      </x:c>
      <x:c r="E127" s="4" t="str">
        <x:v>保留</x:v>
      </x:c>
      <x:c r="F127" s="4" t="str"/>
      <x:c r="G127" s="4" t="str">
        <x:v>3220282</x:v>
      </x:c>
      <x:c r="H127" s="4" t="str">
        <x:v>Tarro de conserva con tapa</x:v>
      </x:c>
      <x:c r="I127" s="4" t="str">
        <x:v>same_type</x:v>
      </x:c>
      <x:c r="J127" s="4" t="str">
        <x:v>果酱罐与带盖储存罐同类，蜂蜜香料为使用对象</x:v>
      </x:c>
      <x:c r="K127" s="4" t="str">
        <x:v>密封及罐装安全未知</x:v>
      </x:c>
      <x:c r="L127" s="4" t="str">
        <x:v>https://www.amazon.es/HYCKee-48-mermelada-herm%C3%A9ticos-etiquetas/dp/B0H3KJX1NZ?psc=1</x:v>
      </x:c>
      <x:c r="M127" s="4" t="str">
        <x:v>B0_84bacc4c6b66_009296</x:v>
      </x:c>
      <x:c r="N127" s="4" t="str">
        <x:v>40ff5bed51fc198b29b951fe631e7ad764dee84d835b96ecf37521a4944c22ab</x:v>
      </x:c>
      <x:c r="O127" s="8"/>
      <x:c r="P127" s="8"/>
      <x:c r="Q127" s="8"/>
      <x:c r="R127" s="8"/>
    </x:row>
    <x:row r="128" ht="90" customHeight="1">
      <x:c r="A128" s="4" t="str">
        <x:v>P124</x:v>
      </x:c>
      <x:c r="B128" s="4" t="str">
        <x:v>Quid Set de 6 Tazas Con Plato Renova Blanca de Porcelana 9cl</x:v>
      </x:c>
      <x:c r="C128" s="4" t="str">
        <x:v>杯碟套装</x:v>
      </x:c>
      <x:c r="D128" s="4" t="str">
        <x:v>盛装饮品</x:v>
      </x:c>
      <x:c r="E128" s="4" t="str">
        <x:v>保留</x:v>
      </x:c>
      <x:c r="F128" s="4" t="str"/>
      <x:c r="G128" s="4" t="str">
        <x:v>3218989</x:v>
      </x:c>
      <x:c r="H128" s="4" t="str">
        <x:v>Taza y plato de porcelana</x:v>
      </x:c>
      <x:c r="I128" s="4" t="str">
        <x:v>same_type</x:v>
      </x:c>
      <x:c r="J128" s="4" t="str">
        <x:v>杯碟组合有Action直接同类，不补成整套餐具</x:v>
      </x:c>
      <x:c r="K128" s="4" t="str">
        <x:v>容量与陶瓷安全未知</x:v>
      </x:c>
      <x:c r="L128" s="4" t="str">
        <x:v>https://www.amazon.es/Quid-Renova-Blanca-Porcelana-Transparente/dp/B086JRT6ZP/ref=sr_1_325?dib=eyJ2IjoiMSJ9.hJuTv4IKRW450Y8LRmUCQYje295TepRwZkgmJKYVLqkBIeq3STlHrGY2EsNxO70ypKBxhsWD6FoiIVj3jolN8lo2r82avyxuWhdwSRMNAyfsEsVy8i6NtzwkRbd9E2H_LCkSXFoGXm23t0YzKgH_V2Trw4m9n7yAOPDOMWxqNOwdHhQXauIe3YnzAplbpRgrZ1D_blPc4WpnmC_HAteDyKu3TnWF3q5TbBPzfQvvpu6paDgGktkwO8ZIYVMYLB6G0FuVoJJj2A1yL0n_rGXlcjQ-tyAodNkXzLcef2aPZ5I.R0Ooh3wWSLKe4xwUUk8lKQJhHxZIh68PkTIRcqhpJ4c&amp;dib_tag=se&amp;qid=1792649172&amp;s=kitchen&amp;sr=1-325&amp;srs=88626813031&amp;xpid=qpnO31ULD-dQ4</x:v>
      </x:c>
      <x:c r="M128" s="4" t="str">
        <x:v>B0_84bacc4c6b66_016627</x:v>
      </x:c>
      <x:c r="N128" s="4" t="str">
        <x:v>2097e01cf2a535bb06a98c6baf28d1e41b32f1d1fa49b8f9c27a859094312283</x:v>
      </x:c>
      <x:c r="O128" s="8"/>
      <x:c r="P128" s="8"/>
      <x:c r="Q128" s="8"/>
      <x:c r="R128" s="8"/>
    </x:row>
    <x:row r="129" ht="90" customHeight="1">
      <x:c r="A129" s="4" t="str">
        <x:v>P125</x:v>
      </x:c>
      <x:c r="B129" s="4" t="str">
        <x:v>HomeFashion bascula cocina balanza cocina peso de cocina digital Báscula con Pantalla LCD, Acero Inoxidable, Balanza de Alimentos Multifuncional 5 kg/11 lbs</x:v>
      </x:c>
      <x:c r="C129" s="4" t="str">
        <x:v>电子厨房秤</x:v>
      </x:c>
      <x:c r="D129" s="4" t="str">
        <x:v>称量食材</x:v>
      </x:c>
      <x:c r="E129" s="4" t="str">
        <x:v>保留</x:v>
      </x:c>
      <x:c r="F129" s="4" t="str"/>
      <x:c r="G129" s="4" t="str">
        <x:v>2572868</x:v>
      </x:c>
      <x:c r="H129" s="4" t="str">
        <x:v>Báscula de cocina electrónica</x:v>
      </x:c>
      <x:c r="I129" s="4" t="str">
        <x:v>same_type</x:v>
      </x:c>
      <x:c r="J129" s="4" t="str">
        <x:v>数字厨房秤为日常测量器具，有直接Action同类</x:v>
      </x:c>
      <x:c r="K129" s="4" t="str">
        <x:v>量程和精度未验证</x:v>
      </x:c>
      <x:c r="L129" s="4" t="str">
        <x:v>https://www.amazon.es/HomeFashion-Pantalla-Inoxidable-Alimentos-Multifuncional/dp/B08WL7WJZ7?psc=1</x:v>
      </x:c>
      <x:c r="M129" s="4" t="str">
        <x:v>B0_84bacc4c6b66_009781</x:v>
      </x:c>
      <x:c r="N129" s="4" t="str">
        <x:v>d57295b2754ad05486a56875fa86f6cb51fe858c50f734b350a4da7b21a80828</x:v>
      </x:c>
      <x:c r="O129" s="8"/>
      <x:c r="P129" s="8"/>
      <x:c r="Q129" s="8"/>
      <x:c r="R129" s="8"/>
    </x:row>
    <x:row r="130" ht="90" customHeight="1">
      <x:c r="A130" s="4" t="str">
        <x:v>P126</x:v>
      </x:c>
      <x:c r="B130" s="4" t="str">
        <x:v>Lalord Cafetera para verter sobre café, cafetera pour over, jarra de vidrio de borosilicato de 27 onzas, filtro de acero inoxidable de doble capa y collar de madera moderno</x:v>
      </x:c>
      <x:c r="C130" s="4" t="str">
        <x:v>手冲咖啡壶</x:v>
      </x:c>
      <x:c r="D130" s="4" t="str">
        <x:v>过滤冲泡咖啡</x:v>
      </x:c>
      <x:c r="E130" s="4" t="str">
        <x:v>保留</x:v>
      </x:c>
      <x:c r="F130" s="4" t="str"/>
      <x:c r="G130" s="4" t="str">
        <x:v>3203560</x:v>
      </x:c>
      <x:c r="H130" s="4" t="str">
        <x:v>Cafetera Moka</x:v>
      </x:c>
      <x:c r="I130" s="4" t="str">
        <x:v>related_type</x:v>
      </x:c>
      <x:c r="J130" s="4" t="str">
        <x:v>手冲壶与Moka都是咖啡制作器具，方法不同；不由Cafetera补电加热</x:v>
      </x:c>
      <x:c r="K130" s="4" t="str">
        <x:v>耐热与过滤性能未知</x:v>
      </x:c>
      <x:c r="L130" s="4" t="str">
        <x:v>https://www.amazon.es/Lalord-Cafetera-filtro-inoxidable-cafetera/dp/B0B2CNQ18T?psc=1</x:v>
      </x:c>
      <x:c r="M130" s="4" t="str">
        <x:v>B0_84bacc4c6b66_012010</x:v>
      </x:c>
      <x:c r="N130" s="4" t="str">
        <x:v>dfc0993b9f2f35d45ee3c4238937d673d2cf5edd1f10113107811fcbfbb76e49</x:v>
      </x:c>
      <x:c r="O130" s="8"/>
      <x:c r="P130" s="8"/>
      <x:c r="Q130" s="8"/>
      <x:c r="R130" s="8"/>
    </x:row>
    <x:row r="131" ht="90" customHeight="1">
      <x:c r="A131" s="4" t="str">
        <x:v>P127</x:v>
      </x:c>
      <x:c r="B131" s="4" t="str">
        <x:v>Princess Molinillo de Café Eléctrico, 50 g, Carcasa de Acero Inoxidable | Tapa transparente desmontable, Bloqueo integrado, Almacenamiento para cable, 150 W, 01.242196.01.001</x:v>
      </x:c>
      <x:c r="C131" s="4" t="str">
        <x:v>电动咖啡研磨机</x:v>
      </x:c>
      <x:c r="D131" s="4" t="str">
        <x:v>研磨咖啡豆</x:v>
      </x:c>
      <x:c r="E131" s="4" t="str">
        <x:v>观察</x:v>
      </x:c>
      <x:c r="F131" s="4" t="str">
        <x:v>经营边界未确认</x:v>
      </x:c>
      <x:c r="G131" s="4" t="str">
        <x:v>3206265</x:v>
      </x:c>
      <x:c r="H131" s="4" t="str">
        <x:v>Molinillo eléctrico de pimienta/sal Tristar</x:v>
      </x:c>
      <x:c r="I131" s="4" t="str">
        <x:v>related_type</x:v>
      </x:c>
      <x:c r="J131" s="4" t="str">
        <x:v>电动咖啡磨与电动调味磨相关，但不证明磨盘粒度同一</x:v>
      </x:c>
      <x:c r="K131" s="4" t="str">
        <x:v>粒度和容量未验证</x:v>
      </x:c>
      <x:c r="L131" s="4" t="str">
        <x:v>https://www.amazon.es/Princess-01-242196-01-001-Molinillo-inoxidable-carcasa/dp/B01J5SSJ0A?psc=1</x:v>
      </x:c>
      <x:c r="M131" s="4" t="str">
        <x:v>B0_84bacc4c6b66_016188</x:v>
      </x:c>
      <x:c r="N131" s="4" t="str">
        <x:v>68bab40b3864ac946f694efb6bf71a815d2a772bd4db283292d65cc4f9d27b21</x:v>
      </x:c>
      <x:c r="O131" s="8"/>
      <x:c r="P131" s="8"/>
      <x:c r="Q131" s="8"/>
      <x:c r="R131" s="8"/>
    </x:row>
    <x:row r="132" ht="90" customHeight="1">
      <x:c r="A132" s="4" t="str">
        <x:v>P128</x:v>
      </x:c>
      <x:c r="B132" s="4" t="str">
        <x:v>Yuaiosn 8 Piezas Cadena para Bolso, DIY Cadenas para Bolsos, 120 cm con 16 anillas en D para bolso bandolera, Cartera(oro/plata/bronce/color arma)</x:v>
      </x:c>
      <x:c r="C132" s="4" t="str">
        <x:v>DIY包链配件</x:v>
      </x:c>
      <x:c r="D132" s="4" t="str">
        <x:v>制作或更换包带</x:v>
      </x:c>
      <x:c r="E132" s="4" t="str">
        <x:v>观察</x:v>
      </x:c>
      <x:c r="F132" s="4" t="str">
        <x:v>缺少有效Action参照</x:v>
      </x:c>
      <x:c r="G132" s="4" t="str"/>
      <x:c r="H132" s="4" t="str"/>
      <x:c r="I132" s="4" t="str">
        <x:v>none</x:v>
      </x:c>
      <x:c r="J132" s="4" t="str">
        <x:v>包链及D环为通用手作材料，成品包只是使用对象</x:v>
      </x:c>
      <x:c r="K132" s="4" t="str">
        <x:v>连接承重与材料未知</x:v>
      </x:c>
      <x:c r="L132" s="4" t="str">
        <x:v>https://www.amazon.es/Yuaiosn-Cadenas-anillas-bandolera-Cartera/dp/B0DGX8BYBW?psc=1</x:v>
      </x:c>
      <x:c r="M132" s="4" t="str">
        <x:v>B0_84bacc4c6b66_022739</x:v>
      </x:c>
      <x:c r="N132" s="4" t="str">
        <x:v>53d8da24f6a634128364c37330e0548c5aabc431ecd23b15dd069925484954a7</x:v>
      </x:c>
      <x:c r="O132" s="8"/>
      <x:c r="P132" s="8"/>
      <x:c r="Q132" s="8"/>
      <x:c r="R132" s="8"/>
    </x:row>
    <x:row r="133" ht="90" customHeight="1">
      <x:c r="A133" s="4" t="str">
        <x:v>P129</x:v>
      </x:c>
      <x:c r="B133" s="4" t="str">
        <x:v>Dohe - Papel Seda (25 Hojas) - Tamaño 50x70 cm, Suave, 100% Liso y Resistente, Ideal para Decoración, Manualidades, Envolver Regalos - Blanco+</x:v>
      </x:c>
      <x:c r="C133" s="4" t="str">
        <x:v>薄页包装纸</x:v>
      </x:c>
      <x:c r="D133" s="4" t="str">
        <x:v>礼品包装和手工</x:v>
      </x:c>
      <x:c r="E133" s="4" t="str">
        <x:v>保留</x:v>
      </x:c>
      <x:c r="F133" s="4" t="str"/>
      <x:c r="G133" s="4" t="str">
        <x:v>2506713</x:v>
      </x:c>
      <x:c r="H133" s="4" t="str">
        <x:v>Papel de regalo</x:v>
      </x:c>
      <x:c r="I133" s="4" t="str">
        <x:v>related_type</x:v>
      </x:c>
      <x:c r="J133" s="4" t="str">
        <x:v>Papel Seda是薄纸，不是蚕丝织物；与Action礼品纸相关</x:v>
      </x:c>
      <x:c r="K133" s="4" t="str">
        <x:v>纸质及尺寸未验证</x:v>
      </x:c>
      <x:c r="L133" s="4" t="str">
        <x:v>https://www.amazon.es/Dohe-Resistente-Decoraci%C3%B3n-Manualidades-Envolver/dp/B0FFBPQBFS?psc=1</x:v>
      </x:c>
      <x:c r="M133" s="4" t="str">
        <x:v>B0_84bacc4c6b66_006343</x:v>
      </x:c>
      <x:c r="N133" s="4" t="str">
        <x:v>2179ff03dea22c520c6ef2a0a9c72c79225b71bb51542b9af37aa0aa8b3588ca</x:v>
      </x:c>
      <x:c r="O133" s="8"/>
      <x:c r="P133" s="8"/>
      <x:c r="Q133" s="8"/>
      <x:c r="R133" s="8"/>
    </x:row>
    <x:row r="134" ht="90" customHeight="1">
      <x:c r="A134" s="4" t="str">
        <x:v>P130</x:v>
      </x:c>
      <x:c r="B134" s="4" t="str">
        <x:v>Sensor de inundación de Fugas de Agua Zigbee Inteligente, Sensor de agua Inundación Inalámbrica IP66 con Notificación en Tiempo Real, Sensor de Agua para Hogar Smart Home Compatible con Home Assistant</x:v>
      </x:c>
      <x:c r="C134" s="4" t="str">
        <x:v>Zigbee漏水传感器</x:v>
      </x:c>
      <x:c r="D134" s="4" t="str">
        <x:v>提示漏水</x:v>
      </x:c>
      <x:c r="E134" s="4" t="str">
        <x:v>观察</x:v>
      </x:c>
      <x:c r="F134" s="4" t="str">
        <x:v>经营边界未确认</x:v>
      </x:c>
      <x:c r="G134" s="4" t="str"/>
      <x:c r="H134" s="4" t="str"/>
      <x:c r="I134" s="4" t="str">
        <x:v>none</x:v>
      </x:c>
      <x:c r="J134" s="4" t="str">
        <x:v>传感器主体清楚，协议与通知方式不能证明独立运行，不补具体网关要求</x:v>
      </x:c>
      <x:c r="K134" s="4" t="str">
        <x:v>网关、电源和报警效果未知</x:v>
      </x:c>
      <x:c r="L134" s="4" t="str">
        <x:v>https://www.amazon.es/inundaci%C3%B3n-Inteligente-Inundaci%C3%B3n-Inal%C3%A1mbrica-Notificaci%C3%B3n/dp/B0HF83X7P3?psc=1</x:v>
      </x:c>
      <x:c r="M134" s="4" t="str">
        <x:v>B0_84bacc4c6b66_024190</x:v>
      </x:c>
      <x:c r="N134" s="4" t="str">
        <x:v>6804c416e49b34e0514600b2a74ad314a305611840e1ff6b75dc67551712e02b</x:v>
      </x:c>
      <x:c r="O134" s="8"/>
      <x:c r="P134" s="8"/>
      <x:c r="Q134" s="8"/>
      <x:c r="R134" s="8"/>
    </x:row>
    <x:row r="135" ht="90" customHeight="1">
      <x:c r="A135" s="4" t="str">
        <x:v>P131</x:v>
      </x:c>
      <x:c r="B135" s="4" t="str">
        <x:v>CREWORKS Prensa de Calor 40x50 cm, Maquina de Sublimacion con Panel de Control Digital, Tubos de Calefacción Dual para Camisetas, Almohadas, Máscaras, Alfombrillas para Mouse y Bolsas</x:v>
      </x:c>
      <x:c r="C135" s="4" t="str">
        <x:v>热转印压烫机</x:v>
      </x:c>
      <x:c r="D135" s="4" t="str">
        <x:v>将图案热转印到物品</x:v>
      </x:c>
      <x:c r="E135" s="4" t="str">
        <x:v>观察</x:v>
      </x:c>
      <x:c r="F135" s="4" t="str">
        <x:v>经营边界未确认</x:v>
      </x:c>
      <x:c r="G135" s="4" t="str"/>
      <x:c r="H135" s="4" t="str"/>
      <x:c r="I135" s="4" t="str">
        <x:v>none</x:v>
      </x:c>
      <x:c r="J135" s="4" t="str">
        <x:v>完整热压设备明确，但没有冻结规则要求的明确工业整机文字；不强行外推工业级别</x:v>
      </x:c>
      <x:c r="K135" s="4" t="str">
        <x:v>生产范围、温控及防护未知</x:v>
      </x:c>
      <x:c r="L135" s="4" t="str">
        <x:v>https://www.amazon.es/CREWORKS-Sublimacion-Calefacci%C3%B3n-Camisetas-Alfombrillas/dp/B0DLGRBJSN?psc=1</x:v>
      </x:c>
      <x:c r="M135" s="4" t="str">
        <x:v>B0_84bacc4c6b66_003858</x:v>
      </x:c>
      <x:c r="N135" s="4" t="str">
        <x:v>cc587c3d0ed8b6fdee99d15b19e976dfbd3e1c671d4a35e44bfd4db9aa4a07b3</x:v>
      </x:c>
      <x:c r="O135" s="8"/>
      <x:c r="P135" s="8"/>
      <x:c r="Q135" s="8"/>
      <x:c r="R135" s="8"/>
    </x:row>
    <x:row r="136" ht="90" customHeight="1">
      <x:c r="A136" s="4" t="str">
        <x:v>P132</x:v>
      </x:c>
      <x:c r="B136" s="4" t="str">
        <x:v>Kit de arte de poke de tela de Navidad 3D, kit de arte de poke de telas hechas a mano, decoración vintage hecha a mano, kit de arte de tela hecho a mano para adultos y principiantes, #A</x:v>
      </x:c>
      <x:c r="C136" s="4" t="str">
        <x:v>布艺手作装饰套装</x:v>
      </x:c>
      <x:c r="D136" s="4" t="str">
        <x:v>制作立体布艺装饰</x:v>
      </x:c>
      <x:c r="E136" s="4" t="str">
        <x:v>观察</x:v>
      </x:c>
      <x:c r="F136" s="4" t="str">
        <x:v>参照关联过宽</x:v>
      </x:c>
      <x:c r="G136" s="4" t="str">
        <x:v>3218830</x:v>
      </x:c>
      <x:c r="H136" s="4" t="str">
        <x:v>Kit de manualidades</x:v>
      </x:c>
      <x:c r="I136" s="4" t="str">
        <x:v>category_only</x:v>
      </x:c>
      <x:c r="J136" s="4" t="str">
        <x:v>手作布艺套装主体可辨，Action泛手工套装未说明相同工艺</x:v>
      </x:c>
      <x:c r="K136" s="4" t="str">
        <x:v>具体技法、组件和成品未知</x:v>
      </x:c>
      <x:c r="L136" s="4" t="str">
        <x:v>https://www.amazon.es/Navidad-decoraci%C3%B3n-vintage-adultos-principiantes/dp/B0HDS26CYB?psc=1</x:v>
      </x:c>
      <x:c r="M136" s="4" t="str">
        <x:v>B0_84bacc4c6b66_014116</x:v>
      </x:c>
      <x:c r="N136" s="4" t="str">
        <x:v>a375d926b7074222432ea07c3f7c3517113a224e044634617a461dfeced6cfd8</x:v>
      </x:c>
      <x:c r="O136" s="8"/>
      <x:c r="P136" s="8"/>
      <x:c r="Q136" s="8"/>
      <x:c r="R136" s="8"/>
    </x:row>
    <x:row r="137" ht="90" customHeight="1">
      <x:c r="A137" s="4" t="str">
        <x:v>P133</x:v>
      </x:c>
      <x:c r="B137" s="4" t="str">
        <x:v>Fjbottle Botella Termica 1900ML con tapa magnética, sin BPA/sin Fugas botella agua acero inoxidable Gimnasio termo para deporte/bebida carbonatada</x:v>
      </x:c>
      <x:c r="C137" s="4" t="str">
        <x:v>大容量保温水瓶</x:v>
      </x:c>
      <x:c r="D137" s="4" t="str">
        <x:v>随身携带饮品</x:v>
      </x:c>
      <x:c r="E137" s="4" t="str">
        <x:v>保留</x:v>
      </x:c>
      <x:c r="F137" s="4" t="str"/>
      <x:c r="G137" s="4" t="str">
        <x:v>3218544</x:v>
      </x:c>
      <x:c r="H137" s="4" t="str">
        <x:v>Botella térmica</x:v>
      </x:c>
      <x:c r="I137" s="4" t="str">
        <x:v>same_type</x:v>
      </x:c>
      <x:c r="J137" s="4" t="str">
        <x:v>保温瓶主体有同类参照，磁盖是附件特征</x:v>
      </x:c>
      <x:c r="K137" s="4" t="str">
        <x:v>碳酸饮品适用和防漏未知</x:v>
      </x:c>
      <x:c r="L137" s="4" t="str">
        <x:v>https://www.amazon.es/FJbottle-Botella-inoxidable-magn%C3%A9tica-botella/dp/B0C64XRZLJ?psc=1</x:v>
      </x:c>
      <x:c r="M137" s="4" t="str">
        <x:v>B0_84bacc4c6b66_007504</x:v>
      </x:c>
      <x:c r="N137" s="4" t="str">
        <x:v>724eee8aa377070fb331d2c86ce533e8bbe3663d801cb662d06ac3980789ad66</x:v>
      </x:c>
      <x:c r="O137" s="8"/>
      <x:c r="P137" s="8"/>
      <x:c r="Q137" s="8"/>
      <x:c r="R137" s="8"/>
    </x:row>
    <x:row r="138" ht="90" customHeight="1">
      <x:c r="A138" s="4" t="str">
        <x:v>P134</x:v>
      </x:c>
      <x:c r="B138" s="4" t="str">
        <x:v>3 PCS Moldes para Jabones Artesanales Moldes de Silicona en Forma de Rosa | Molde 3D Antiadherente y Reutilizable, Fáciles de Desmoldar, para Jabón, Velas, Chocolate, Hielo y Pasteles</x:v>
      </x:c>
      <x:c r="C138" s="4" t="str">
        <x:v>手工香皂成型模具</x:v>
      </x:c>
      <x:c r="D138" s="4" t="str">
        <x:v>制作模塑手工品</x:v>
      </x:c>
      <x:c r="E138" s="4" t="str">
        <x:v>保留</x:v>
      </x:c>
      <x:c r="F138" s="4" t="str"/>
      <x:c r="G138" s="4" t="str">
        <x:v>3207872</x:v>
      </x:c>
      <x:c r="H138" s="4" t="str">
        <x:v>Moldes de silicona para pasteles</x:v>
      </x:c>
      <x:c r="I138" s="4" t="str">
        <x:v>related_type</x:v>
      </x:c>
      <x:c r="J138" s="4" t="str">
        <x:v>模具与烘焙模具为相关成型器具，标题多用途不证明均安全</x:v>
      </x:c>
      <x:c r="K138" s="4" t="str">
        <x:v>食品接触、耐热和材料未知</x:v>
      </x:c>
      <x:c r="L138" s="4" t="str">
        <x:v>https://www.amazon.es/Alimentaria-Artesanales-Antiadherente-Reutilizable-Desmoldar/dp/B0F28PXFZT?psc=1</x:v>
      </x:c>
      <x:c r="M138" s="4" t="str">
        <x:v>B0_84bacc4c6b66_001121</x:v>
      </x:c>
      <x:c r="N138" s="4" t="str">
        <x:v>921c9c6073f4fb16a8102eea911c5ce9c810e1db7ae1df2077f67c599d64a70c</x:v>
      </x:c>
      <x:c r="O138" s="8"/>
      <x:c r="P138" s="8"/>
      <x:c r="Q138" s="8"/>
      <x:c r="R138" s="8"/>
    </x:row>
    <x:row r="139" ht="90" customHeight="1">
      <x:c r="A139" s="4" t="str">
        <x:v>P135</x:v>
      </x:c>
      <x:c r="B139" s="4" t="str">
        <x:v>JUPPLIES Estanteria Telescopica de Baño de Altura Ajustable 100-320cm | Esquinero Baño Ducha de Plástico y Metal sin Taladro - Organizador de Bañera, Lavabo con 4 Baldas</x:v>
      </x:c>
      <x:c r="C139" s="4" t="str">
        <x:v>伸缩式浴室置物架</x:v>
      </x:c>
      <x:c r="D139" s="4" t="str">
        <x:v>浴室分层储物</x:v>
      </x:c>
      <x:c r="E139" s="4" t="str">
        <x:v>观察</x:v>
      </x:c>
      <x:c r="F139" s="4" t="str">
        <x:v>经营边界未确认</x:v>
      </x:c>
      <x:c r="G139" s="4" t="str">
        <x:v>3016459</x:v>
      </x:c>
      <x:c r="H139" s="4" t="str">
        <x:v>Estantería de ducha</x:v>
      </x:c>
      <x:c r="I139" s="4" t="str">
        <x:v>related_type</x:v>
      </x:c>
      <x:c r="J139" s="4" t="str">
        <x:v>整体伸缩架与Action浴室架相关，完整家具和安装条件留研究</x:v>
      </x:c>
      <x:c r="K139" s="4" t="str">
        <x:v>撑紧方式、承重及空间适配未知</x:v>
      </x:c>
      <x:c r="L139" s="4" t="str">
        <x:v>https://www.amazon.es/JUPPLIES-Estanteria-Telescopica-Altura-Ajustable/dp/B0DJL6W8RT?psc=1</x:v>
      </x:c>
      <x:c r="M139" s="4" t="str">
        <x:v>B0_84bacc4c6b66_010671</x:v>
      </x:c>
      <x:c r="N139" s="4" t="str">
        <x:v>f2f03d8d02aef66a208fb6b9eaa3b415607b6b793735e164039ba4f6b5c4b3d1</x:v>
      </x:c>
      <x:c r="O139" s="8"/>
      <x:c r="P139" s="8"/>
      <x:c r="Q139" s="8"/>
      <x:c r="R139" s="8"/>
    </x:row>
    <x:row r="140" ht="90" customHeight="1">
      <x:c r="A140" s="4" t="str">
        <x:v>P136</x:v>
      </x:c>
      <x:c r="B140" s="4" t="str">
        <x:v>Calcomanías de Ventana Halloween, 9 Motivos Lindos y Terroríficos, PVC Autoadhesivo, Removible, Para Casa Encantada Interior y Exterior</x:v>
      </x:c>
      <x:c r="C140" s="4" t="str">
        <x:v>万圣节窗贴</x:v>
      </x:c>
      <x:c r="D140" s="4" t="str">
        <x:v>节庆装饰</x:v>
      </x:c>
      <x:c r="E140" s="4" t="str">
        <x:v>保留</x:v>
      </x:c>
      <x:c r="F140" s="4" t="str"/>
      <x:c r="G140" s="4" t="str">
        <x:v>3006466</x:v>
      </x:c>
      <x:c r="H140" s="4" t="str">
        <x:v>Pegatinas para ventanas de Halloween</x:v>
      </x:c>
      <x:c r="I140" s="4" t="str">
        <x:v>same_type</x:v>
      </x:c>
      <x:c r="J140" s="4" t="str">
        <x:v>窗贴为明确主体，鬼屋是使用场景</x:v>
      </x:c>
      <x:c r="K140" s="4" t="str">
        <x:v>粘附及可移除性能未知</x:v>
      </x:c>
      <x:c r="L140" s="4" t="str">
        <x:v>https://www.amazon.es/Calcoman%C3%ADas-Halloween-Terror%C3%ADficos-Autoadhesivo-Removible/dp/B0H838Q5JK?psc=1</x:v>
      </x:c>
      <x:c r="M140" s="4" t="str">
        <x:v>B0_84bacc4c6b66_004033</x:v>
      </x:c>
      <x:c r="N140" s="4" t="str">
        <x:v>2010bde3d0048fa2bdd17e7034389e9fc27eab02959fbd588a4c0649b3e8673b</x:v>
      </x:c>
      <x:c r="O140" s="8"/>
      <x:c r="P140" s="8"/>
      <x:c r="Q140" s="8"/>
      <x:c r="R140" s="8"/>
    </x:row>
    <x:row r="141" ht="90" customHeight="1">
      <x:c r="A141" s="4" t="str">
        <x:v>P137</x:v>
      </x:c>
      <x:c r="B141" s="4" t="str">
        <x:v>Hejo Vasos Yogurtera con Tapa, 200ml/7oz Frascos de Vidrio Pequeños | 12 Piezas Tarros de Yogur con Tapa Reutilizables, Tarros de Cristal Transparente Portátiles para Avena Mermelada de Especias</x:v>
      </x:c>
      <x:c r="C141" s="4" t="str">
        <x:v>带盖酸奶罐</x:v>
      </x:c>
      <x:c r="D141" s="4" t="str">
        <x:v>分装酸奶和食品</x:v>
      </x:c>
      <x:c r="E141" s="4" t="str">
        <x:v>保留</x:v>
      </x:c>
      <x:c r="F141" s="4" t="str"/>
      <x:c r="G141" s="4" t="str">
        <x:v>3215789</x:v>
      </x:c>
      <x:c r="H141" s="4" t="str">
        <x:v>Tarro de vidrio mini</x:v>
      </x:c>
      <x:c r="I141" s="4" t="str">
        <x:v>related_type</x:v>
      </x:c>
      <x:c r="J141" s="4" t="str">
        <x:v>销售玻璃罐而非酸奶机，Action小玻璃罐为相关主体</x:v>
      </x:c>
      <x:c r="K141" s="4" t="str">
        <x:v>盖具、耐热和设备适配未知</x:v>
      </x:c>
      <x:c r="L141" s="4" t="str">
        <x:v>https://www.amazon.es/Hejo-Yogurtera-Reutilizables-Transparente-Port%C3%A1tiles/dp/B0FHZTWN3R?psc=1</x:v>
      </x:c>
      <x:c r="M141" s="4" t="str">
        <x:v>B0_84bacc4c6b66_009557</x:v>
      </x:c>
      <x:c r="N141" s="4" t="str">
        <x:v>8f5b213631011b0d18ccc730a281df32377577d102a308180061dc247df16b68</x:v>
      </x:c>
      <x:c r="O141" s="8"/>
      <x:c r="P141" s="8"/>
      <x:c r="Q141" s="8"/>
      <x:c r="R141" s="8"/>
    </x:row>
    <x:row r="142" ht="90" customHeight="1">
      <x:c r="A142" s="4" t="str">
        <x:v>P138</x:v>
      </x:c>
      <x:c r="B142" s="4" t="str">
        <x:v>AMFUN Bolsas de Regalo con Asa, 2 Bolsas Marco Oro Champán de Regalo, 28x20x10cm Regalo Puro Bolsa con 2 Tarjetas de Felicitación, para Cumpleaños, Fiesta, Celebración</x:v>
      </x:c>
      <x:c r="C142" s="4" t="str">
        <x:v>带提手礼品袋套装</x:v>
      </x:c>
      <x:c r="D142" s="4" t="str">
        <x:v>包装礼品</x:v>
      </x:c>
      <x:c r="E142" s="4" t="str">
        <x:v>保留</x:v>
      </x:c>
      <x:c r="F142" s="4" t="str"/>
      <x:c r="G142" s="4" t="str">
        <x:v>3208197</x:v>
      </x:c>
      <x:c r="H142" s="4" t="str">
        <x:v>Bolsas de regalo</x:v>
      </x:c>
      <x:c r="I142" s="4" t="str">
        <x:v>same_type</x:v>
      </x:c>
      <x:c r="J142" s="4" t="str">
        <x:v>礼品袋是主要主体，附卡片不改变包装用途；未推定参照也含卡</x:v>
      </x:c>
      <x:c r="K142" s="4" t="str">
        <x:v>尺寸及纸材未知</x:v>
      </x:c>
      <x:c r="L142" s="4" t="str">
        <x:v>https://www.amazon.es/AMFUN-28x20x10cm-Felicitaci%C3%B3n-Cumplea%C3%B1os-Celebraci%C3%B3n/dp/B0G1SFY671?psc=1</x:v>
      </x:c>
      <x:c r="M142" s="4" t="str">
        <x:v>B0_84bacc4c6b66_000368</x:v>
      </x:c>
      <x:c r="N142" s="4" t="str">
        <x:v>3ecbb113a3ab515257f7b78c97191045e18c0fbdb125798d0d3bc374cc956a79</x:v>
      </x:c>
      <x:c r="O142" s="8"/>
      <x:c r="P142" s="8"/>
      <x:c r="Q142" s="8"/>
      <x:c r="R142" s="8"/>
    </x:row>
    <x:row r="143" ht="90" customHeight="1">
      <x:c r="A143" s="4" t="str">
        <x:v>P139</x:v>
      </x:c>
      <x:c r="B143" s="4" t="str">
        <x:v>Dyness Estación de Energía Portátil 300W, 256Wh Generador Solar Portatil con Batería LiFePO4, Tomacorriente CA, 6 Salidas, 4 Cargas, Energía de Emergencia para Campamentos, Autocaravanas y Viajes</x:v>
      </x:c>
      <x:c r="C143" s="4" t="str">
        <x:v>便携储能电源</x:v>
      </x:c>
      <x:c r="D143" s="4" t="str">
        <x:v>应急及户外供电</x:v>
      </x:c>
      <x:c r="E143" s="4" t="str">
        <x:v>观察</x:v>
      </x:c>
      <x:c r="F143" s="4" t="str">
        <x:v>经营边界未确认</x:v>
      </x:c>
      <x:c r="G143" s="4" t="str"/>
      <x:c r="H143" s="4" t="str"/>
      <x:c r="I143" s="4" t="str">
        <x:v>none</x:v>
      </x:c>
      <x:c r="J143" s="4" t="str">
        <x:v>储能电源整机明确，太阳能发电配件是否包含未知；不按solar匹配庭院灯</x:v>
      </x:c>
      <x:c r="K143" s="4" t="str">
        <x:v>电池声称、逆变输出及经营边界未知</x:v>
      </x:c>
      <x:c r="L143" s="4" t="str">
        <x:v>https://www.amazon.es/Dyness-Tomacorriente-Emergencia-Campamentos-Autocaravanas/dp/B0G641B35K?psc=1</x:v>
      </x:c>
      <x:c r="M143" s="4" t="str">
        <x:v>B0_84bacc4c6b66_006452</x:v>
      </x:c>
      <x:c r="N143" s="4" t="str">
        <x:v>424e0640c6b525b0344dfa60647eb98aaec6460093330d471f5289cf0e47986c</x:v>
      </x:c>
      <x:c r="O143" s="8"/>
      <x:c r="P143" s="8"/>
      <x:c r="Q143" s="8"/>
      <x:c r="R143" s="8"/>
    </x:row>
    <x:row r="144" ht="90" customHeight="1">
      <x:c r="A144" s="4" t="str">
        <x:v>P140</x:v>
      </x:c>
      <x:c r="B144" s="4" t="str">
        <x:v>Fairy Kit Manualidades Linternas de Hadas 6+ - Crea 2 Luces Nocturnas LED | Purpurina, Unicornios y Hadas para Tarros Corazón y Estrella - Mundo Mágico, Regalo de Cumpleaños para Niñas</x:v>
      </x:c>
      <x:c r="C144" s="4" t="str">
        <x:v>童话主题手工灯制作套装</x:v>
      </x:c>
      <x:c r="D144" s="4" t="str">
        <x:v>制作装饰灯</x:v>
      </x:c>
      <x:c r="E144" s="4" t="str">
        <x:v>观察</x:v>
      </x:c>
      <x:c r="F144" s="4" t="str">
        <x:v>参照关联过宽</x:v>
      </x:c>
      <x:c r="G144" s="4" t="str">
        <x:v>3218830</x:v>
      </x:c>
      <x:c r="H144" s="4" t="str">
        <x:v>Kit de manualidades</x:v>
      </x:c>
      <x:c r="I144" s="4" t="str">
        <x:v>category_only</x:v>
      </x:c>
      <x:c r="J144" s="4" t="str">
        <x:v>手工灯套装可识别，泛手工套装参照不足以证明同一制作类型</x:v>
      </x:c>
      <x:c r="K144" s="4" t="str">
        <x:v>完整组件和适龄未知</x:v>
      </x:c>
      <x:c r="L144" s="4" t="str">
        <x:v>https://www.amazon.es/Fairy-Kit-Manualidades-Linternas-Hadas/dp/B0H5NYTRZ5?psc=1</x:v>
      </x:c>
      <x:c r="M144" s="4" t="str">
        <x:v>B0_84bacc4c6b66_007654</x:v>
      </x:c>
      <x:c r="N144" s="4" t="str">
        <x:v>06d3341042c41704c2f4779aa68dce2bcc2cb6dbe1bfbb814f49c7ca0c0b95eb</x:v>
      </x:c>
      <x:c r="O144" s="8"/>
      <x:c r="P144" s="8"/>
      <x:c r="Q144" s="8"/>
      <x:c r="R144" s="8"/>
    </x:row>
    <x:row r="145" ht="90" customHeight="1">
      <x:c r="A145" s="4" t="str">
        <x:v>P141</x:v>
      </x:c>
      <x:c r="B145" s="4" t="str">
        <x:v>Mecanismo Movimiento Reloj Cuarzo, Kit reparación Reloj Pared, Silencioso Movimiento Reloj, con 3 Diferentes Piezas de Manecillas, Compatible con Esferas 30-40 cm (Sin gancho)</x:v>
      </x:c>
      <x:c r="C145" s="4" t="str">
        <x:v>石英墙钟机芯与指针</x:v>
      </x:c>
      <x:c r="D145" s="4" t="str">
        <x:v>制作或维修墙钟</x:v>
      </x:c>
      <x:c r="E145" s="4" t="str">
        <x:v>观察</x:v>
      </x:c>
      <x:c r="F145" s="4" t="str">
        <x:v>专用或安装配件</x:v>
      </x:c>
      <x:c r="G145" s="4" t="str">
        <x:v>3016860</x:v>
      </x:c>
      <x:c r="H145" s="4" t="str">
        <x:v>Reloj de pared</x:v>
      </x:c>
      <x:c r="I145" s="4" t="str">
        <x:v>host_only</x:v>
      </x:c>
      <x:c r="J145" s="4" t="str">
        <x:v>机芯套装不是整钟，墙钟参照仅宿主</x:v>
      </x:c>
      <x:c r="K145" s="4" t="str">
        <x:v>轴长和指针适配未知</x:v>
      </x:c>
      <x:c r="L145" s="4" t="str">
        <x:v>https://www.amazon.es/Movimiento-reparaci%C3%B3n-Silencioso-Diferentes-Manecillas/dp/B0D91WJ7N5?psc=1</x:v>
      </x:c>
      <x:c r="M145" s="4" t="str">
        <x:v>B0_84bacc4c6b66_013843</x:v>
      </x:c>
      <x:c r="N145" s="4" t="str">
        <x:v>b25aa29a5e1bd920191c45e9065743407e0b879e41294716470ec0f5c38bdf94</x:v>
      </x:c>
      <x:c r="O145" s="8"/>
      <x:c r="P145" s="8"/>
      <x:c r="Q145" s="8"/>
      <x:c r="R145" s="8"/>
    </x:row>
    <x:row r="146" ht="90" customHeight="1">
      <x:c r="A146" s="4" t="str">
        <x:v>P142</x:v>
      </x:c>
      <x:c r="B146" s="4" t="str">
        <x:v>YUANEANG Filamento PLA de 1,75 mm, precisión dimensional +/-0,02 mm, alta tenacidad, amplia compatibilidad, bobina de 1 kg, amarillo limón</x:v>
      </x:c>
      <x:c r="C146" s="4" t="str">
        <x:v>PLA丝材</x:v>
      </x:c>
      <x:c r="D146" s="4" t="str">
        <x:v>打印耗材用途候选</x:v>
      </x:c>
      <x:c r="E146" s="4" t="str">
        <x:v>观察</x:v>
      </x:c>
      <x:c r="F146" s="4" t="str">
        <x:v>经营边界未确认</x:v>
      </x:c>
      <x:c r="G146" s="4" t="str"/>
      <x:c r="H146" s="4" t="str"/>
      <x:c r="I146" s="4" t="str">
        <x:v>none</x:v>
      </x:c>
      <x:c r="J146" s="4" t="str">
        <x:v>丝径与卷装PLA支持打印丝材用途，但标题未完整说明机型，灯泡灯丝不作参照</x:v>
      </x:c>
      <x:c r="K146" s="4" t="str">
        <x:v>兼容设备和材料性能未知</x:v>
      </x:c>
      <x:c r="L146" s="4" t="str">
        <x:v>https://www.amazon.es/YUANEANG-Filamento-precisi%C3%B3n-dimensional-compatibilidad/dp/B0H1B9H92Q?psc=1</x:v>
      </x:c>
      <x:c r="M146" s="4" t="str">
        <x:v>B0_84bacc4c6b66_022515</x:v>
      </x:c>
      <x:c r="N146" s="4" t="str">
        <x:v>eba24c6e334a86d548fe5c587963bd817ac06710f491ff1bd8c06da01ddda8c8</x:v>
      </x:c>
      <x:c r="O146" s="8"/>
      <x:c r="P146" s="8"/>
      <x:c r="Q146" s="8"/>
      <x:c r="R146" s="8"/>
    </x:row>
    <x:row r="147" ht="90" customHeight="1">
      <x:c r="A147" s="4" t="str">
        <x:v>P143</x:v>
      </x:c>
      <x:c r="B147" s="4" t="str">
        <x:v>Tetera de Acero Inoxidable de 2L con Filtro Infusor Extraíble, Tetera de café 201</x:v>
      </x:c>
      <x:c r="C147" s="4" t="str">
        <x:v>带滤器茶壶</x:v>
      </x:c>
      <x:c r="D147" s="4" t="str">
        <x:v>泡茶及盛饮品</x:v>
      </x:c>
      <x:c r="E147" s="4" t="str">
        <x:v>保留</x:v>
      </x:c>
      <x:c r="F147" s="4" t="str"/>
      <x:c r="G147" s="4" t="str">
        <x:v>3010883</x:v>
      </x:c>
      <x:c r="H147" s="4" t="str">
        <x:v>Tetera con filtro</x:v>
      </x:c>
      <x:c r="I147" s="4" t="str">
        <x:v>same_type</x:v>
      </x:c>
      <x:c r="J147" s="4" t="str">
        <x:v>茶壶与滤器明确，不补电加热；Action滤茶壶同类</x:v>
      </x:c>
      <x:c r="K147" s="4" t="str">
        <x:v>材料等级和耐热未知</x:v>
      </x:c>
      <x:c r="L147" s="4" t="str">
        <x:v>https://www.amazon.es/Tetera-Inoxidable-Filtro-Infusor-Extra%C3%ADble/dp/B0CL4QK56J?psc=1</x:v>
      </x:c>
      <x:c r="M147" s="4" t="str">
        <x:v>B0_84bacc4c6b66_020025</x:v>
      </x:c>
      <x:c r="N147" s="4" t="str">
        <x:v>d49cf81833df4fe6ddce7be4aeaaaa9cccb2c51da986957a83dab4fbb800fbe2</x:v>
      </x:c>
      <x:c r="O147" s="8"/>
      <x:c r="P147" s="8"/>
      <x:c r="Q147" s="8"/>
      <x:c r="R147" s="8"/>
    </x:row>
    <x:row r="148" ht="90" customHeight="1">
      <x:c r="A148" s="4" t="str">
        <x:v>P144</x:v>
      </x:c>
      <x:c r="B148" s="4" t="str">
        <x:v>Umbra Estique Perchero para Colgar sobre la Puerta, Blanco</x:v>
      </x:c>
      <x:c r="C148" s="4" t="str">
        <x:v>门上挂架</x:v>
      </x:c>
      <x:c r="D148" s="4" t="str">
        <x:v>悬挂衣物</x:v>
      </x:c>
      <x:c r="E148" s="4" t="str">
        <x:v>保留</x:v>
      </x:c>
      <x:c r="F148" s="4" t="str"/>
      <x:c r="G148" s="4" t="str">
        <x:v>2546440</x:v>
      </x:c>
      <x:c r="H148" s="4" t="str">
        <x:v>Perchero de puerta</x:v>
      </x:c>
      <x:c r="I148" s="4" t="str">
        <x:v>same_type</x:v>
      </x:c>
      <x:c r="J148" s="4" t="str">
        <x:v>门挂架有Action同类，门是承载物，不是销售门板</x:v>
      </x:c>
      <x:c r="K148" s="4" t="str">
        <x:v>门厚及承重未知</x:v>
      </x:c>
      <x:c r="L148" s="4" t="str">
        <x:v>https://www.amazon.es/Umbra-Estique-Perchero-colgar-puerta/dp/B09WX3MN25/ref=sr_1_3806?dib=eyJ2IjoiMSJ9.RNP2QIMtJCCg0VprCMCitK-vi9EhGesedl5omay0u0se-8Bfr-P69nEVgPBc_loZNTovm9qD2pP24XBhG1fooPGU46ey1ia9o00Qyi30WHF0FsuSJiyRhLexl-wSMi4mH8SigAlhOgdJDii3DL1NoCtWG5diYZpF0juPoqNYEv3bf8Gg5UZ4q9Ox22vNIa31egyDOz1vYOaOp84RgIncLkLDRQu71C_QedWmSrAjFKD2MElNDg-2bL0gNyW-DakLzvTBYjXUcC_4NKmW84BQBoJzo5Tz4uFK0z0dMLwYvKA.WuHaQQ5xmiss-D7g_QyEB1EkImJoZiyp9HC3KvxTiGI&amp;dib_tag=se&amp;qid=1792600318&amp;s=kitchen&amp;sr=1-3806&amp;srs=88626813031&amp;xpid=CeuYXw3Vdr0Bg</x:v>
      </x:c>
      <x:c r="M148" s="4" t="str">
        <x:v>B0_84bacc4c6b66_020606</x:v>
      </x:c>
      <x:c r="N148" s="4" t="str">
        <x:v>0feaa0a8f549b979fb9b6a3088bd53269ee5becb3e1a0613ca3b82bcaf2fc12b</x:v>
      </x:c>
      <x:c r="O148" s="8"/>
      <x:c r="P148" s="8"/>
      <x:c r="Q148" s="8"/>
      <x:c r="R148" s="8"/>
    </x:row>
    <x:row r="149" ht="90" customHeight="1">
      <x:c r="A149" s="4" t="str">
        <x:v>P145</x:v>
      </x:c>
      <x:c r="B149" s="4" t="str">
        <x:v>Zaxiva 2 Ganchos Ventosa 304 Acero Inoxidable Extra Fuerte, Colgador Toalla Baño Sin Perforar, Fáciles de Instalar, con Ventosa de Succión Potente, Ideal Para Accesorios de Baño y Cocina en el Hogar</x:v>
      </x:c>
      <x:c r="C149" s="4" t="str">
        <x:v>吸盘挂钩</x:v>
      </x:c>
      <x:c r="D149" s="4" t="str">
        <x:v>悬挂浴室或厨房小物</x:v>
      </x:c>
      <x:c r="E149" s="4" t="str">
        <x:v>保留</x:v>
      </x:c>
      <x:c r="F149" s="4" t="str"/>
      <x:c r="G149" s="4" t="str">
        <x:v>2568437</x:v>
      </x:c>
      <x:c r="H149" s="4" t="str">
        <x:v>Ganchos Tesa</x:v>
      </x:c>
      <x:c r="I149" s="4" t="str">
        <x:v>related_type</x:v>
      </x:c>
      <x:c r="J149" s="4" t="str">
        <x:v>通用吸盘挂钩与Action挂钩相关，不把毛巾当销售主体</x:v>
      </x:c>
      <x:c r="K149" s="4" t="str">
        <x:v>吸附、承重和防锈未知</x:v>
      </x:c>
      <x:c r="L149" s="4" t="str">
        <x:v>https://www.amazon.es/Zaxiva-Inoxidable-Colgador-Perforar-Accesorios/dp/B0DLNQ7VL8?psc=1</x:v>
      </x:c>
      <x:c r="M149" s="4" t="str">
        <x:v>B0_84bacc4c6b66_022916</x:v>
      </x:c>
      <x:c r="N149" s="4" t="str">
        <x:v>1e6b65bf9f32e90329b9ae3ce9ffcfbfbf432177aab026d975ad89470d845056</x:v>
      </x:c>
      <x:c r="O149" s="8"/>
      <x:c r="P149" s="8"/>
      <x:c r="Q149" s="8"/>
      <x:c r="R149" s="8"/>
    </x:row>
    <x:row r="150" ht="90" customHeight="1">
      <x:c r="A150" s="4" t="str">
        <x:v>P146</x:v>
      </x:c>
      <x:c r="B150" s="4" t="str">
        <x:v>Juego de pasta de grabado para cristal, 10,5 oz crema para vasos, crea arte hermoso en superficies de vidrio en pocos minutos, perfecto para principiantes, artesanías significativas hechas a mano</x:v>
      </x:c>
      <x:c r="C150" s="4" t="str">
        <x:v>玻璃蚀刻膏套装</x:v>
      </x:c>
      <x:c r="D150" s="4" t="str">
        <x:v>在玻璃上制作图案</x:v>
      </x:c>
      <x:c r="E150" s="4" t="str">
        <x:v>观察</x:v>
      </x:c>
      <x:c r="F150" s="4" t="str">
        <x:v>经营边界未确认</x:v>
      </x:c>
      <x:c r="G150" s="4" t="str"/>
      <x:c r="H150" s="4" t="str"/>
      <x:c r="I150" s="4" t="str">
        <x:v>none</x:v>
      </x:c>
      <x:c r="J150" s="4" t="str">
        <x:v>蚀刻膏为处理材料而不是饮水杯，不能据初学者宣传视为已确认安全</x:v>
      </x:c>
      <x:c r="K150" s="4" t="str">
        <x:v>化学配方与防护未知</x:v>
      </x:c>
      <x:c r="L150" s="4" t="str">
        <x:v>https://www.amazon.es/superficies-perfecto-principiantes-artesan%C3%ADas-significativas/dp/B0D97SHVHX?psc=1</x:v>
      </x:c>
      <x:c r="M150" s="4" t="str">
        <x:v>B0_84bacc4c6b66_024898</x:v>
      </x:c>
      <x:c r="N150" s="4" t="str">
        <x:v>50e7d4564edb17c0d18341b9906d12d53d1bda22526d984a8716f429d7cdab2a</x:v>
      </x:c>
      <x:c r="O150" s="8"/>
      <x:c r="P150" s="8"/>
      <x:c r="Q150" s="8"/>
      <x:c r="R150" s="8"/>
    </x:row>
    <x:row r="151" ht="90" customHeight="1">
      <x:c r="A151" s="4" t="str">
        <x:v>P147</x:v>
      </x:c>
      <x:c r="B151" s="4" t="str">
        <x:v>Lékué Espátula Ranurada de cocina Colección Essential</x:v>
      </x:c>
      <x:c r="C151" s="4" t="str">
        <x:v>漏孔厨房铲</x:v>
      </x:c>
      <x:c r="D151" s="4" t="str">
        <x:v>翻取食物</x:v>
      </x:c>
      <x:c r="E151" s="4" t="str">
        <x:v>保留</x:v>
      </x:c>
      <x:c r="F151" s="4" t="str"/>
      <x:c r="G151" s="4" t="str">
        <x:v>3219762</x:v>
      </x:c>
      <x:c r="H151" s="4" t="str">
        <x:v>Espátula MasterChef</x:v>
      </x:c>
      <x:c r="I151" s="4" t="str">
        <x:v>same_type</x:v>
      </x:c>
      <x:c r="J151" s="4" t="str">
        <x:v>厨房铲主体明确，系列名称不影响类型</x:v>
      </x:c>
      <x:c r="K151" s="4" t="str">
        <x:v>耐热与接触安全未知</x:v>
      </x:c>
      <x:c r="L151" s="4" t="str">
        <x:v>https://www.amazon.es/L%C3%A9ku%C3%A9-0207013V28U220-Esp%C3%A1tula-Ranurada/dp/B0BHWRFW63?psc=1</x:v>
      </x:c>
      <x:c r="M151" s="4" t="str">
        <x:v>B0_84bacc4c6b66_011659</x:v>
      </x:c>
      <x:c r="N151" s="4" t="str">
        <x:v>3257e999f6ef00abf9c73692540ef0e906d5fae63ff53631b7154f4c542e8bd9</x:v>
      </x:c>
      <x:c r="O151" s="8"/>
      <x:c r="P151" s="8"/>
      <x:c r="Q151" s="8"/>
      <x:c r="R151" s="8"/>
    </x:row>
    <x:row r="152" ht="90" customHeight="1">
      <x:c r="A152" s="4" t="str">
        <x:v>P148</x:v>
      </x:c>
      <x:c r="B152" s="4" t="str">
        <x:v>Juego de cuentas de cristal de 3 mm, 24 colores Rocailles para enhebrar, pequeñas cuentas de cristal para pulseras y collares, mini cuentas para joyería DIY con caja de almacenamiento (marrón)</x:v>
      </x:c>
      <x:c r="C152" s="4" t="str">
        <x:v>玻璃串珠套装</x:v>
      </x:c>
      <x:c r="D152" s="4" t="str">
        <x:v>制作首饰</x:v>
      </x:c>
      <x:c r="E152" s="4" t="str">
        <x:v>保留</x:v>
      </x:c>
      <x:c r="F152" s="4" t="str"/>
      <x:c r="G152" s="4" t="str">
        <x:v>3217670</x:v>
      </x:c>
      <x:c r="H152" s="4" t="str">
        <x:v>Juego de cuentas</x:v>
      </x:c>
      <x:c r="I152" s="4" t="str">
        <x:v>same_type</x:v>
      </x:c>
      <x:c r="J152" s="4" t="str">
        <x:v>串珠套装与Action珠饰套装同类，不推定参照相同玻璃材料</x:v>
      </x:c>
      <x:c r="K152" s="4" t="str">
        <x:v>孔径、色数及适龄未知</x:v>
      </x:c>
      <x:c r="L152" s="4" t="str">
        <x:v>https://www.amazon.es/Rocailles-enhebrar-peque%C3%B1as-pulseras-almacenamiento/dp/B0HDSQZJ5H?psc=1</x:v>
      </x:c>
      <x:c r="M152" s="4" t="str">
        <x:v>B0_84bacc4c6b66_017329</x:v>
      </x:c>
      <x:c r="N152" s="4" t="str">
        <x:v>b16165ba0c37e15b68dbfcaf6a6ef7e61caa7721c42ed299d96a9684d2e5de70</x:v>
      </x:c>
      <x:c r="O152" s="8"/>
      <x:c r="P152" s="8"/>
      <x:c r="Q152" s="8"/>
      <x:c r="R152" s="8"/>
    </x:row>
    <x:row r="153" ht="90" customHeight="1">
      <x:c r="A153" s="4" t="str">
        <x:v>P149</x:v>
      </x:c>
      <x:c r="B153" s="4" t="str">
        <x:v>Tiken 2L Jarra Térmica Para Café, Acero Inoxidable Aislado Al Vacío Frasco Para Té Y Bebidas Frías Y Calientes</x:v>
      </x:c>
      <x:c r="C153" s="4" t="str">
        <x:v>保温饮品壶</x:v>
      </x:c>
      <x:c r="D153" s="4" t="str">
        <x:v>保温储存和倒取饮品</x:v>
      </x:c>
      <x:c r="E153" s="4" t="str">
        <x:v>保留</x:v>
      </x:c>
      <x:c r="F153" s="4" t="str"/>
      <x:c r="G153" s="4" t="str">
        <x:v>2557384</x:v>
      </x:c>
      <x:c r="H153" s="4" t="str">
        <x:v>Jarra térmica Tefal</x:v>
      </x:c>
      <x:c r="I153" s="4" t="str">
        <x:v>same_type</x:v>
      </x:c>
      <x:c r="J153" s="4" t="str">
        <x:v>保温壶主体与Action同类，未声称电加热</x:v>
      </x:c>
      <x:c r="K153" s="4" t="str">
        <x:v>容量、保温和接触安全未知</x:v>
      </x:c>
      <x:c r="L153" s="4" t="str">
        <x:v>https://www.amazon.es/Tiken-t%C3%A9rmica-inoxidable-mantener-caliente/dp/B08ZS51Z94/ref=sr_1_1900?dib=eyJ2IjoiMSJ9.NIDfIBfgTGfsL4sv6UM5ZjlL1S410Idzfhu2jgoexBdmPQTLc4ieGl33-i7LUDUlKQf4RY9aXgxl1WvGMfNgrq3-I5dEzHng32nmuA1UlCtvyBThOJp6MVOEBoQsPo0JROgK80-T-roAg2L8_hEZ3cHOQuu3Qo7nGt36yfimpSn1LZHj2sRpPyCEsMfuYfNFKZ543JgPJWGpsc3ieMKG9UKoViz3LcBg0OREgEcgspYRLWhnnKp3XCVQCHjGo0vO7FFlxN-ZJRvaiyzf8lu1x47-Nx-6LdlauSqXywQHJNY.iNbCPQp0cIJgqdmHTn8m-a0-DBNiT5bEtu6fJRmyEek&amp;dib_tag=se&amp;qid=1792598212&amp;s=kitchen&amp;sr=1-1900&amp;srs=88626813031&amp;xpid=CeuYXw3Vdr0Bg</x:v>
      </x:c>
      <x:c r="M153" s="4" t="str">
        <x:v>B0_84bacc4c6b66_020081</x:v>
      </x:c>
      <x:c r="N153" s="4" t="str">
        <x:v>104aabeab5a4febb30dacfd8e62ebe638753981e088d6ef0dd55d0179f200f89</x:v>
      </x:c>
      <x:c r="O153" s="8"/>
      <x:c r="P153" s="8"/>
      <x:c r="Q153" s="8"/>
      <x:c r="R153" s="8"/>
    </x:row>
    <x:row r="154" ht="90" customHeight="1">
      <x:c r="A154" s="4" t="str">
        <x:v>P150</x:v>
      </x:c>
      <x:c r="B154" s="4" t="str">
        <x:v>Spray de Sublimación, Pulverizadores de Sublimación, Sprays de Revestimiento de Sublimación, Perfecto para Colores Más Brillantes y Vibrantes, 100ml</x:v>
      </x:c>
      <x:c r="C154" s="4" t="str">
        <x:v>热升华转印涂层喷剂</x:v>
      </x:c>
      <x:c r="D154" s="4" t="str">
        <x:v>处理转印表面</x:v>
      </x:c>
      <x:c r="E154" s="4" t="str">
        <x:v>观察</x:v>
      </x:c>
      <x:c r="F154" s="4" t="str">
        <x:v>经营边界未确认</x:v>
      </x:c>
      <x:c r="G154" s="4" t="str"/>
      <x:c r="H154" s="4" t="str"/>
      <x:c r="I154" s="4" t="str">
        <x:v>none</x:v>
      </x:c>
      <x:c r="J154" s="4" t="str">
        <x:v>喷涂材料而非打印整机或绘画铅笔；专业涂层经营范围未确认</x:v>
      </x:c>
      <x:c r="K154" s="4" t="str">
        <x:v>配方、基材及热处理未知</x:v>
      </x:c>
      <x:c r="L154" s="4" t="str">
        <x:v>https://www.amazon.es/Sublimaci%C3%B3n-Pulverizadores-Revestimiento-Brillantes-Vibrantes/dp/B0F3XL2J1G?psc=1</x:v>
      </x:c>
      <x:c r="M154" s="4" t="str">
        <x:v>B0_84bacc4c6b66_019106</x:v>
      </x:c>
      <x:c r="N154" s="4" t="str">
        <x:v>689e4e204fa71d4272289a138b0ca91f8fd108679886818134b1e00dd57edef4</x:v>
      </x:c>
      <x:c r="O154" s="8"/>
      <x:c r="P154" s="8"/>
      <x:c r="Q154" s="8"/>
      <x:c r="R154" s="8"/>
    </x:row>
    <x:row r="155" ht="90" customHeight="1">
      <x:c r="A155" s="4" t="str">
        <x:v>P151</x:v>
      </x:c>
      <x:c r="B155" s="4" t="str">
        <x:v>Habitdesign Estantería Klum en Color Blanco Brillo, Fabricada en Melamina, Mueble de Salón, 10 Espacios 145x145x29 cm</x:v>
      </x:c>
      <x:c r="C155" s="4" t="str">
        <x:v>分格储物架</x:v>
      </x:c>
      <x:c r="D155" s="4" t="str">
        <x:v>储物与陈列</x:v>
      </x:c>
      <x:c r="E155" s="4" t="str">
        <x:v>观察</x:v>
      </x:c>
      <x:c r="F155" s="4" t="str">
        <x:v>经营边界未确认</x:v>
      </x:c>
      <x:c r="G155" s="4" t="str">
        <x:v>3214351</x:v>
      </x:c>
      <x:c r="H155" s="4" t="str">
        <x:v>Estantería metálica</x:v>
      </x:c>
      <x:c r="I155" s="4" t="str">
        <x:v>related_type</x:v>
      </x:c>
      <x:c r="J155" s="4" t="str">
        <x:v>完整储物家具，Action金属架为相关类型，不能证明材料结构一致</x:v>
      </x:c>
      <x:c r="K155" s="4" t="str">
        <x:v>板材、承重和装配未知</x:v>
      </x:c>
      <x:c r="L155" s="4" t="str">
        <x:v>https://www.amazon.es/Habitdesign-002255BO-Estanter%C3%ADa-decorativa-acabado/dp/B00IPDAB9Y/ref=sr_1_2856?dib=eyJ2IjoiMSJ9.dLjecJebzow5ArChgppRDbcUdhsRFBMxwIAhaq6WHvgD7RbDYTb6M0xTQg6JQT6voiz8-eZgCLRUZkabOykEHvkSE8SNPpPVrycEIzvz21pfo83YkhHb19pEnfmf0N4GK2mE4K-VhPG4yTNZMFqeMVbeFrgYGl6pEQ4x1s9_UUNLhctI3UOCebrgXXByFEBLcZbvslAkuZj0k3lzqhVn6YrM72nhkxmg5nOGQuOuWiN3AfEDVkgHALqhQTRG0HlxJmgT9dV5nLQ_mFPrk3OF_AKUBVG3_N6YXkVXXyFiGj0.x2QeOS4WlFGBaERxHlPrck2YKcLKXznmOP5WIdz--a4&amp;dib_tag=se&amp;qid=1792651310&amp;s=kitchen&amp;sr=1-2856&amp;srs=88626813031&amp;xpid=qpnO31ULD-dQ4</x:v>
      </x:c>
      <x:c r="M155" s="4" t="str">
        <x:v>B0_84bacc4c6b66_009305</x:v>
      </x:c>
      <x:c r="N155" s="4" t="str">
        <x:v>cccbbd9603ed0786bd857e48585384e270271004be91e917dfabd842c286d4dd</x:v>
      </x:c>
      <x:c r="O155" s="8"/>
      <x:c r="P155" s="8"/>
      <x:c r="Q155" s="8"/>
      <x:c r="R155" s="8"/>
    </x:row>
    <x:row r="156" ht="90" customHeight="1">
      <x:c r="A156" s="4" t="str">
        <x:v>P152</x:v>
      </x:c>
      <x:c r="B156" s="4" t="str">
        <x:v>GOEDCH 4 luces de seguridad para mascotas: tres modos de iluminación impermeable para mascotas al aire libre, lámpara de collar de perro recargable por USB para</x:v>
      </x:c>
      <x:c r="C156" s="4" t="str">
        <x:v>宠物项圈灯</x:v>
      </x:c>
      <x:c r="D156" s="4" t="str">
        <x:v>夜间提示宠物位置</x:v>
      </x:c>
      <x:c r="E156" s="4" t="str">
        <x:v>保留</x:v>
      </x:c>
      <x:c r="F156" s="4" t="str"/>
      <x:c r="G156" s="4" t="str">
        <x:v>3216724</x:v>
      </x:c>
      <x:c r="H156" s="4" t="str">
        <x:v>Lámpara para mascotas</x:v>
      </x:c>
      <x:c r="I156" s="4" t="str">
        <x:v>same_type</x:v>
      </x:c>
      <x:c r="J156" s="4" t="str">
        <x:v>项圈灯明确，有Action宠物灯同类；安全灯不保证事故预防</x:v>
      </x:c>
      <x:c r="K156" s="4" t="str">
        <x:v>亮度、防水和续航未知</x:v>
      </x:c>
      <x:c r="L156" s="4" t="str">
        <x:v>https://www.amazon.es/GOEDCH-luces-seguridad-para-mascotas/dp/B0DFPJBX2R?psc=1</x:v>
      </x:c>
      <x:c r="M156" s="4" t="str">
        <x:v>B0_84bacc4c6b66_008213</x:v>
      </x:c>
      <x:c r="N156" s="4" t="str">
        <x:v>b086c390e6eab7b4f398fddc0d73ffe0bd0ee633c662802b493aa829bbe139ba</x:v>
      </x:c>
      <x:c r="O156" s="8"/>
      <x:c r="P156" s="8"/>
      <x:c r="Q156" s="8"/>
      <x:c r="R156" s="8"/>
    </x:row>
    <x:row r="157" ht="90" customHeight="1">
      <x:c r="A157" s="4" t="str">
        <x:v>P153</x:v>
      </x:c>
      <x:c r="B157" s="4" t="str">
        <x:v>Schneider Electric A9R84240 Interruptor diferencial iID, 2P, 40A, 300mA, clase AC de la gama Acti9, Blanco</x:v>
      </x:c>
      <x:c r="C157" s="4" t="str">
        <x:v>漏电保护开关</x:v>
      </x:c>
      <x:c r="D157" s="4" t="str">
        <x:v>保护配电电路</x:v>
      </x:c>
      <x:c r="E157" s="4" t="str">
        <x:v>观察</x:v>
      </x:c>
      <x:c r="F157" s="4" t="str">
        <x:v>专用或安装配件</x:v>
      </x:c>
      <x:c r="G157" s="4" t="str"/>
      <x:c r="H157" s="4" t="str"/>
      <x:c r="I157" s="4" t="str">
        <x:v>none</x:v>
      </x:c>
      <x:c r="J157" s="4" t="str">
        <x:v>配电保护元件不是普通开关插座，不能按电气词泛配</x:v>
      </x:c>
      <x:c r="K157" s="4" t="str">
        <x:v>额定参数及安装认证未知</x:v>
      </x:c>
      <x:c r="L157" s="4" t="str">
        <x:v>https://www.amazon.es/Schneider-Electric-A9R84240-Interruptor-Diferencial/dp/B01N1PGO7Y?psc=1</x:v>
      </x:c>
      <x:c r="M157" s="4" t="str">
        <x:v>B0_84bacc4c6b66_018344</x:v>
      </x:c>
      <x:c r="N157" s="4" t="str">
        <x:v>7b71b5184041637e3c841f495f70b5a900208b48166d8fa39acb0faa1fa63b90</x:v>
      </x:c>
      <x:c r="O157" s="8"/>
      <x:c r="P157" s="8"/>
      <x:c r="Q157" s="8"/>
      <x:c r="R157" s="8"/>
    </x:row>
    <x:row r="158" ht="90" customHeight="1">
      <x:c r="A158" s="4" t="str">
        <x:v>P154</x:v>
      </x:c>
      <x:c r="B158" s="4" t="str">
        <x:v>EXAOMBLE Unión de Barra de Armario 10 Conectores de Plástico 4 Vías 13 MM Diámetro Interior para Muebles de Tela y Organizador de Ropa Uso en Armarios y Zapateros</x:v>
      </x:c>
      <x:c r="C158" s="4" t="str">
        <x:v>家具管件四通连接头</x:v>
      </x:c>
      <x:c r="D158" s="4" t="str">
        <x:v>组装管架家具</x:v>
      </x:c>
      <x:c r="E158" s="4" t="str">
        <x:v>观察</x:v>
      </x:c>
      <x:c r="F158" s="4" t="str">
        <x:v>专用或安装配件</x:v>
      </x:c>
      <x:c r="G158" s="4" t="str"/>
      <x:c r="H158" s="4" t="str"/>
      <x:c r="I158" s="4" t="str">
        <x:v>none</x:v>
      </x:c>
      <x:c r="J158" s="4" t="str">
        <x:v>连接头是家具构件，不是完整衣柜或鞋架</x:v>
      </x:c>
      <x:c r="K158" s="4" t="str">
        <x:v>内径与结构适配未知</x:v>
      </x:c>
      <x:c r="L158" s="4" t="str">
        <x:v>https://www.amazon.es/EXAOMBLE-Conectores-Pl%C3%A1stico-Organizador-Zapateros/dp/B0GV23GYYP?psc=1</x:v>
      </x:c>
      <x:c r="M158" s="4" t="str">
        <x:v>B0_84bacc4c6b66_006656</x:v>
      </x:c>
      <x:c r="N158" s="4" t="str">
        <x:v>ab4e00a7f368a2d8d1d9c488ceeb64ccf7bfeeea5efeb2aa669d809af9b82646</x:v>
      </x:c>
      <x:c r="O158" s="8"/>
      <x:c r="P158" s="8"/>
      <x:c r="Q158" s="8"/>
      <x:c r="R158" s="8"/>
    </x:row>
    <x:row r="159" ht="90" customHeight="1">
      <x:c r="A159" s="4" t="str">
        <x:v>P155</x:v>
      </x:c>
      <x:c r="B159" s="4" t="str">
        <x:v>Bastilipo - Climatizador evaporativo Formentor RC, control digital, mando a distancia, consumo 65W, deposito de 3.5L, temporizador.</x:v>
      </x:c>
      <x:c r="C159" s="4" t="str">
        <x:v>蒸发式冷风机</x:v>
      </x:c>
      <x:c r="D159" s="4" t="str">
        <x:v>室内降温送风</x:v>
      </x:c>
      <x:c r="E159" s="4" t="str">
        <x:v>观察</x:v>
      </x:c>
      <x:c r="F159" s="4" t="str">
        <x:v>经营边界未确认</x:v>
      </x:c>
      <x:c r="G159" s="4" t="str">
        <x:v>3215453</x:v>
      </x:c>
      <x:c r="H159" s="4" t="str">
        <x:v>Enfriador de aire Nedis</x:v>
      </x:c>
      <x:c r="I159" s="4" t="str">
        <x:v>related_type</x:v>
      </x:c>
      <x:c r="J159" s="4" t="str">
        <x:v>冷风机主体明确，遥控器是配套；Action冷风器相关但原理未注明</x:v>
      </x:c>
      <x:c r="K159" s="4" t="str">
        <x:v>降温、耗电和噪声未知</x:v>
      </x:c>
      <x:c r="L159" s="4" t="str">
        <x:v>https://www.amazon.es/Bastilipo-Climatizador-evaporativo-Formentor-temporizador/dp/B0F7RVQRKR?psc=1</x:v>
      </x:c>
      <x:c r="M159" s="4" t="str">
        <x:v>B0_84bacc4c6b66_002581</x:v>
      </x:c>
      <x:c r="N159" s="4" t="str">
        <x:v>a673e21c3a2cb35294e7a09f48ab42a6ad506584fe03ad393edfad45585fa29e</x:v>
      </x:c>
      <x:c r="O159" s="8"/>
      <x:c r="P159" s="8"/>
      <x:c r="Q159" s="8"/>
      <x:c r="R159" s="8"/>
    </x:row>
    <x:row r="160" ht="90" customHeight="1">
      <x:c r="A160" s="4" t="str">
        <x:v>P156</x:v>
      </x:c>
      <x:c r="B160" s="4" t="str">
        <x:v>COSTWAY 175 cm Decoración de Halloween con Costillas Iluminadas | Calabaza Animatrónica con Cabeza Móvil y Sonidos Espeluznantes, Accesorio Fantasma de Pie para Exterior Interior Casa</x:v>
      </x:c>
      <x:c r="C160" s="4" t="str">
        <x:v>大型动态万圣节装饰</x:v>
      </x:c>
      <x:c r="D160" s="4" t="str">
        <x:v>布置节庆场景</x:v>
      </x:c>
      <x:c r="E160" s="4" t="str">
        <x:v>观察</x:v>
      </x:c>
      <x:c r="F160" s="4" t="str">
        <x:v>经营边界未确认</x:v>
      </x:c>
      <x:c r="G160" s="4" t="str">
        <x:v>3006792</x:v>
      </x:c>
      <x:c r="H160" s="4" t="str">
        <x:v>Decoración de Halloween con luz</x:v>
      </x:c>
      <x:c r="I160" s="4" t="str">
        <x:v>related_type</x:v>
      </x:c>
      <x:c r="J160" s="4" t="str">
        <x:v>发声移动的175cm站立装饰仍是装饰品，不是复杂自动化生产系统</x:v>
      </x:c>
      <x:c r="K160" s="4" t="str">
        <x:v>尺寸经营边界、电源和动作配置未知</x:v>
      </x:c>
      <x:c r="L160" s="4" t="str">
        <x:v>https://www.amazon.es/COSTWAY-Decoraci%C3%B3n-Halloween-Costillas-Iluminadas/dp/B0HKZ64F8K?psc=1</x:v>
      </x:c>
      <x:c r="M160" s="4" t="str">
        <x:v>B0_84bacc4c6b66_003784</x:v>
      </x:c>
      <x:c r="N160" s="4" t="str">
        <x:v>897bc9ba65eda344b94c17bb467bfe4a1eb9e932f6c10d2f47887e350a9711e7</x:v>
      </x:c>
      <x:c r="O160" s="8"/>
      <x:c r="P160" s="8"/>
      <x:c r="Q160" s="8"/>
      <x:c r="R160" s="8"/>
    </x:row>
    <x:row r="161" ht="90" customHeight="1">
      <x:c r="A161" s="4" t="str">
        <x:v>P157</x:v>
      </x:c>
      <x:c r="B161" s="4" t="str">
        <x:v>Jetboil Cafetera de prensa francesa de silicona, estufas de camping, regulares</x:v>
      </x:c>
      <x:c r="C161" s="4" t="str">
        <x:v>法压咖啡器具供货含混项</x:v>
      </x:c>
      <x:c r="D161" s="4" t="str">
        <x:v>户外冲泡咖啡用途候选</x:v>
      </x:c>
      <x:c r="E161" s="4" t="str">
        <x:v>观察</x:v>
      </x:c>
      <x:c r="F161" s="4" t="str">
        <x:v>供货或形态信息不足</x:v>
      </x:c>
      <x:c r="G161" s="4" t="str"/>
      <x:c r="H161" s="4" t="str"/>
      <x:c r="I161" s="4" t="str">
        <x:v>none</x:v>
      </x:c>
      <x:c r="J161" s="4" t="str">
        <x:v>标题同时指法压咖啡器具与露营炉具，不能仅凭品牌判断完整壶或压杆附件</x:v>
      </x:c>
      <x:c r="K161" s="4" t="str">
        <x:v>完整供货结构及炉具适配未知</x:v>
      </x:c>
      <x:c r="L161" s="4" t="str">
        <x:v>https://www.amazon.es/Jetboil-Prensa-silicona-estufas-camping/dp/B082XXZ36S/ref=sr_1_2142?dib=eyJ2IjoiMSJ9.ClvBMyphIFqyzff7XUa5Xj9iHQtAZeFIZs2KJGV3xE7JM9ofTe2Ji0DlxfEagWiodJc5IgLPMy7HgZ98s6vXEFHw4uHUKTUXJuiUhG4TTJV826DDSEtVefKtEhql91nSM2HGARPgbkVhmmQdy3zVvcSWhlvSgLhqp1LHmFwxBUFSVcokDpTPBUCIM2JHzRFtBFcPrlIaQ2RtEq6PZ-p0SLmeonEoNkE8VI03uggySu_pXGb68wA_DvvHRRkozJOKNDmz25h1q9VUS4m_mqva92gRQEoiDsycIMpstm0r5PY.rDdPviHLrSt5dQc4u4jXoiGMJApEn7AJL8dLUD8LAOw&amp;dib_tag=se&amp;qid=1792650621&amp;s=kitchen&amp;sr=1-2142&amp;srs=88626813031&amp;xpid=qpnO31ULD-dQ4</x:v>
      </x:c>
      <x:c r="M161" s="4" t="str">
        <x:v>B0_84bacc4c6b66_010837</x:v>
      </x:c>
      <x:c r="N161" s="4" t="str">
        <x:v>8cd443e70935b3bdab92821adf9e955e9232cc1aa024eb2ea1bfe95deae2d062</x:v>
      </x:c>
      <x:c r="O161" s="8"/>
      <x:c r="P161" s="8"/>
      <x:c r="Q161" s="8"/>
      <x:c r="R161" s="8"/>
    </x:row>
    <x:row r="162" ht="90" customHeight="1">
      <x:c r="A162" s="4" t="str">
        <x:v>P158</x:v>
      </x:c>
      <x:c r="B162" s="4" t="str">
        <x:v>Limpiador De Vapor 2500W Alta Presión - 1100ml, Portátil Multiusos Con 3 Cabezales De Cepillo | Elimina Grasa SIN Químicos | Para Cocina, Baño, Coche, Tapicerías (Blanco)</x:v>
      </x:c>
      <x:c r="C162" s="4" t="str">
        <x:v>便携蒸汽清洁机</x:v>
      </x:c>
      <x:c r="D162" s="4" t="str">
        <x:v>用蒸汽清理表面</x:v>
      </x:c>
      <x:c r="E162" s="4" t="str">
        <x:v>观察</x:v>
      </x:c>
      <x:c r="F162" s="4" t="str">
        <x:v>经营边界未确认</x:v>
      </x:c>
      <x:c r="G162" s="4" t="str">
        <x:v>3224611</x:v>
      </x:c>
      <x:c r="H162" s="4" t="str">
        <x:v>Limpiador a vapor Leifheit CleanTenso Power</x:v>
      </x:c>
      <x:c r="I162" s="4" t="str">
        <x:v>same_type</x:v>
      </x:c>
      <x:c r="J162" s="4" t="str">
        <x:v>蒸汽机器有Action同类；高压与多刷头不等于工业整机</x:v>
      </x:c>
      <x:c r="K162" s="4" t="str">
        <x:v>蒸汽温压及清洁效果未知</x:v>
      </x:c>
      <x:c r="L162" s="4" t="str">
        <x:v>https://www.amazon.es/Limpiador-Vapor-2500W-Alta-Presi%C3%B3n/dp/B0F3HKGRC1?psc=1</x:v>
      </x:c>
      <x:c r="M162" s="4" t="str">
        <x:v>B0_84bacc4c6b66_012303</x:v>
      </x:c>
      <x:c r="N162" s="4" t="str">
        <x:v>f353c54b77ff1d7887f7610fb7b3bf90ba2aa45bbd31dd7b0f87322cad75d8fc</x:v>
      </x:c>
      <x:c r="O162" s="8"/>
      <x:c r="P162" s="8"/>
      <x:c r="Q162" s="8"/>
      <x:c r="R162" s="8"/>
    </x:row>
    <x:row r="163" ht="90" customHeight="1">
      <x:c r="A163" s="4" t="str">
        <x:v>P159</x:v>
      </x:c>
      <x:c r="B163" s="4" t="str">
        <x:v>Tres Aristas Letra Decorativa Personalizada con Mariposa, Dinosaurio o Balon. Regalo para Niños y Bebés. Decoración Habitación Infantil, Comuniones, Candy Bar y Mesas Dulces. Color y Medida a Elegir</x:v>
      </x:c>
      <x:c r="C163" s="4" t="str">
        <x:v>定制字母装饰</x:v>
      </x:c>
      <x:c r="D163" s="4" t="str">
        <x:v>姓名和场景装饰</x:v>
      </x:c>
      <x:c r="E163" s="4" t="str">
        <x:v>保留</x:v>
      </x:c>
      <x:c r="F163" s="4" t="str"/>
      <x:c r="G163" s="4" t="str">
        <x:v>3200364</x:v>
      </x:c>
      <x:c r="H163" s="4" t="str">
        <x:v>Letras de madera Hobby Flora</x:v>
      </x:c>
      <x:c r="I163" s="4" t="str">
        <x:v>related_type</x:v>
      </x:c>
      <x:c r="J163" s="4" t="str">
        <x:v>装饰字母主体明确，动物或球图案不是独立商品；Action字母装饰相关</x:v>
      </x:c>
      <x:c r="K163" s="4" t="str">
        <x:v>尺寸、材质与授权未知</x:v>
      </x:c>
      <x:c r="L163" s="4" t="str">
        <x:v>https://www.amazon.es/Decorativa-Personalizada-Accesorios-Decoraci%C3%B3n-Comuniones/dp/B0C9QTQS5Y?psc=1</x:v>
      </x:c>
      <x:c r="M163" s="4" t="str">
        <x:v>B0_84bacc4c6b66_005944</x:v>
      </x:c>
      <x:c r="N163" s="4" t="str">
        <x:v>d1b990eaf48c1debcaab2ce244102d9d855cdba2caf11c4bfce28b5146045c04</x:v>
      </x:c>
      <x:c r="O163" s="8"/>
      <x:c r="P163" s="8"/>
      <x:c r="Q163" s="8"/>
      <x:c r="R163" s="8"/>
    </x:row>
    <x:row r="164" ht="90" customHeight="1">
      <x:c r="A164" s="4" t="str">
        <x:v>P160</x:v>
      </x:c>
      <x:c r="B164" s="4" t="str">
        <x:v>Joseph Joseph Dock Escurridor y Organizador de Cubiertos, organizador de fregadero - Gris Oscuro/Gris</x:v>
      </x:c>
      <x:c r="C164" s="4" t="str">
        <x:v>餐具沥水整理器</x:v>
      </x:c>
      <x:c r="D164" s="4" t="str">
        <x:v>沥干并存放餐具</x:v>
      </x:c>
      <x:c r="E164" s="4" t="str">
        <x:v>保留</x:v>
      </x:c>
      <x:c r="F164" s="4" t="str"/>
      <x:c r="G164" s="4" t="str">
        <x:v>2567624</x:v>
      </x:c>
      <x:c r="H164" s="4" t="str">
        <x:v>Portacubiertos Tontarelli</x:v>
      </x:c>
      <x:c r="I164" s="4" t="str">
        <x:v>related_type</x:v>
      </x:c>
      <x:c r="J164" s="4" t="str">
        <x:v>餐具整理容器与Action餐具收纳器相关，不能由参照证明排水结构相同</x:v>
      </x:c>
      <x:c r="K164" s="4" t="str">
        <x:v>容量和排水设计未知</x:v>
      </x:c>
      <x:c r="L164" s="4" t="str">
        <x:v>https://www.amazon.es/Joseph-85075-escurridor-Organizador-Cubiertos/dp/B00MRY2KJ6/ref=sr_1_1128_mod_primary_new?dib=eyJ2IjoiMSJ9.eBVssU2-XfpljsUu6E3Rzfg-sJ8VhzmkHsrC7OfcqQVVuV4w_juzQvEfL_C229ji1gzHN57PSugsEYkt7ufXVLS7rB7uRzDlQuoJYMKH-Jo8hsn_3Btv2T_hrP6YrLsBJoirfioLJyx8AzAxBfdvwHZQUatL7Dy_dBNyw65AUFaE8nZvpw7e6efOcJmf_hQCccJ1o-l6VgXATc6W3S6WOyQKQW4Fmn07QPGq563uIUUvd6UchTgTgO5IQtRE--g09k-oLiUi8Z0SZKj8KKrdVy1F8vhhVmb5elYfac23bQg.bMO9aFH_0kp-_My_lgNGvJLn5Vc6JMO8JIHT_fb0Y3M&amp;dib_tag=se&amp;qid=1792649748&amp;s=kitchen&amp;sbo=RZvfv%2F%2FHxDF%2BO5021pAnSA%3D%3D&amp;sr=1-1128&amp;srs=88626813031&amp;xpid=qpnO31ULD-dQ4</x:v>
      </x:c>
      <x:c r="M164" s="4" t="str">
        <x:v>B0_84bacc4c6b66_010876</x:v>
      </x:c>
      <x:c r="N164" s="4" t="str">
        <x:v>dbfcebce18b6c1ce3df81748e27f2de9a482e93c807eca27b8c53d67dc771aa3</x:v>
      </x:c>
      <x:c r="O164" s="8"/>
      <x:c r="P164" s="8"/>
      <x:c r="Q164" s="8"/>
      <x:c r="R164" s="8"/>
    </x:row>
    <x:row r="165" ht="90" customHeight="1">
      <x:c r="A165" s="4" t="str">
        <x:v>P161</x:v>
      </x:c>
      <x:c r="B165" s="4" t="str">
        <x:v>Muvano Limpiador a Vapor Portátil, Vaporeta de Mano con Calentamiento Instantáneo en 10s, Tanque Visible de 450ml, Limpiador a Vapor Multiusos para Cocina, Baño, Azulejos, Lechada y Tapicería</x:v>
      </x:c>
      <x:c r="C165" s="4" t="str">
        <x:v>手持蒸汽清洁机</x:v>
      </x:c>
      <x:c r="D165" s="4" t="str">
        <x:v>蒸汽清理家居表面</x:v>
      </x:c>
      <x:c r="E165" s="4" t="str">
        <x:v>观察</x:v>
      </x:c>
      <x:c r="F165" s="4" t="str">
        <x:v>经营边界未确认</x:v>
      </x:c>
      <x:c r="G165" s="4" t="str">
        <x:v>3224611</x:v>
      </x:c>
      <x:c r="H165" s="4" t="str">
        <x:v>Limpiador a vapor Leifheit CleanTenso Power</x:v>
      </x:c>
      <x:c r="I165" s="4" t="str">
        <x:v>related_type</x:v>
      </x:c>
      <x:c r="J165" s="4" t="str">
        <x:v>手持蒸汽机器明确，Action蒸汽清洁机为相关主体，形态未必相同</x:v>
      </x:c>
      <x:c r="K165" s="4" t="str">
        <x:v>加热速度和蒸汽安全未知</x:v>
      </x:c>
      <x:c r="L165" s="4" t="str">
        <x:v>https://www.amazon.es/Muvano-Limpiador-Calentamiento-Instant%C3%A1neo-Multiusos/dp/B0H3NTP46F?psc=1</x:v>
      </x:c>
      <x:c r="M165" s="4" t="str">
        <x:v>B0_84bacc4c6b66_013906</x:v>
      </x:c>
      <x:c r="N165" s="4" t="str">
        <x:v>3fae560d5dc5bda41e8b4c5463259660ad265dc68945e65455278742d70611b5</x:v>
      </x:c>
      <x:c r="O165" s="8"/>
      <x:c r="P165" s="8"/>
      <x:c r="Q165" s="8"/>
      <x:c r="R165" s="8"/>
    </x:row>
    <x:row r="166" ht="90" customHeight="1">
      <x:c r="A166" s="4" t="str">
        <x:v>P162</x:v>
      </x:c>
      <x:c r="B166" s="4" t="str">
        <x:v>Valyria Home Azulejos Autoadhesivos 3D Verdes 23x29 cm - Pack 10 | Pack de 10 azulejos autoadhesivos 3D verdes de 23x29 cm. Revestimiento decorativo para paredes de cocina y baño.</x:v>
      </x:c>
      <x:c r="C166" s="4" t="str">
        <x:v>自粘立体墙饰贴片</x:v>
      </x:c>
      <x:c r="D166" s="4" t="str">
        <x:v>墙面装饰</x:v>
      </x:c>
      <x:c r="E166" s="4" t="str">
        <x:v>保留</x:v>
      </x:c>
      <x:c r="F166" s="4" t="str"/>
      <x:c r="G166" s="4" t="str">
        <x:v>3222003</x:v>
      </x:c>
      <x:c r="H166" s="4" t="str">
        <x:v>Azulejo decorativo</x:v>
      </x:c>
      <x:c r="I166" s="4" t="str">
        <x:v>related_type</x:v>
      </x:c>
      <x:c r="J166" s="4" t="str">
        <x:v>装饰贴片和Action装饰瓷砖类型相关，不从Azulejo推定真正陶瓷</x:v>
      </x:c>
      <x:c r="K166" s="4" t="str">
        <x:v>材料、耐热与粘附未知</x:v>
      </x:c>
      <x:c r="L166" s="4" t="str">
        <x:v>https://www.amazon.es/Valyria-Home-Azulejos-Autoadhesivos-Verdes/dp/B0HDV2YD5V?psc=1</x:v>
      </x:c>
      <x:c r="M166" s="4" t="str">
        <x:v>B0_84bacc4c6b66_021225</x:v>
      </x:c>
      <x:c r="N166" s="4" t="str">
        <x:v>0fd4d49235c98f51bd6678d85f2ca23277fa93ae8808c13b1719484c834ddaf1</x:v>
      </x:c>
      <x:c r="O166" s="8"/>
      <x:c r="P166" s="8"/>
      <x:c r="Q166" s="8"/>
      <x:c r="R166" s="8"/>
    </x:row>
    <x:row r="167" ht="90" customHeight="1">
      <x:c r="A167" s="4" t="str">
        <x:v>P163</x:v>
      </x:c>
      <x:c r="B167" s="4" t="str">
        <x:v>Wolfpack 05110500 - Caballete de madera 75 x 75 cm</x:v>
      </x:c>
      <x:c r="C167" s="4" t="str">
        <x:v>木制支架用途含混项</x:v>
      </x:c>
      <x:c r="D167" s="4" t="str">
        <x:v>支撑物品用途候选</x:v>
      </x:c>
      <x:c r="E167" s="4" t="str">
        <x:v>观察</x:v>
      </x:c>
      <x:c r="F167" s="4" t="str">
        <x:v>供货或形态信息不足</x:v>
      </x:c>
      <x:c r="G167" s="4" t="str"/>
      <x:c r="H167" s="4" t="str"/>
      <x:c r="I167" s="4" t="str">
        <x:v>none</x:v>
      </x:c>
      <x:c r="J167" s="4" t="str">
        <x:v>Caballete可能是作业马凳或画架，仅材质尺寸不足以确认；不按品牌猜用途</x:v>
      </x:c>
      <x:c r="K167" s="4" t="str">
        <x:v>具体支撑结构及用途未知</x:v>
      </x:c>
      <x:c r="L167" s="4" t="str">
        <x:v>https://www.amazon.es/Wolfpack-05110500-Caballete-madera-75/dp/B00ITVUI18?psc=1</x:v>
      </x:c>
      <x:c r="M167" s="4" t="str">
        <x:v>B0_84bacc4c6b66_022180</x:v>
      </x:c>
      <x:c r="N167" s="4" t="str">
        <x:v>ea43c10527223431ea8513b39debc00abbbcddfa6a7ad507e5befaa3d86315e3</x:v>
      </x:c>
      <x:c r="O167" s="8"/>
      <x:c r="P167" s="8"/>
      <x:c r="Q167" s="8"/>
      <x:c r="R167" s="8"/>
    </x:row>
    <x:row r="168" ht="90" customHeight="1">
      <x:c r="A168" s="4" t="str">
        <x:v>P164</x:v>
      </x:c>
      <x:c r="B168" s="4" t="str">
        <x:v>Clarston Humidificador de Aire, 2L Niebla Fría Ultrasónico,24 dB Silencioso | 25H, Llenado Superior &amp; Fácil de Limpiar, Humidificador Bebés &amp; Plantas, Boquilla 360° para Habitación, Luz Nocturna, Sin BPA</x:v>
      </x:c>
      <x:c r="C168" s="4" t="str">
        <x:v>超声波冷雾加湿器</x:v>
      </x:c>
      <x:c r="D168" s="4" t="str">
        <x:v>增加室内湿度</x:v>
      </x:c>
      <x:c r="E168" s="4" t="str">
        <x:v>观察</x:v>
      </x:c>
      <x:c r="F168" s="4" t="str">
        <x:v>经营边界未确认</x:v>
      </x:c>
      <x:c r="G168" s="4" t="str"/>
      <x:c r="H168" s="4" t="str"/>
      <x:c r="I168" s="4" t="str">
        <x:v>none</x:v>
      </x:c>
      <x:c r="J168" s="4" t="str">
        <x:v>室内加湿器而非夜灯，婴儿或植物只是使用场景</x:v>
      </x:c>
      <x:c r="K168" s="4" t="str">
        <x:v>静音、雾化和安全未知</x:v>
      </x:c>
      <x:c r="L168" s="4" t="str">
        <x:v>https://www.amazon.es/Clarston-Humidificador-Ultras%C3%B3nico-Silencioso-Habitaci%C3%B3n/dp/B0H5BTRVCX?psc=1</x:v>
      </x:c>
      <x:c r="M168" s="4" t="str">
        <x:v>B0_84bacc4c6b66_004704</x:v>
      </x:c>
      <x:c r="N168" s="4" t="str">
        <x:v>bf1eb6bfe4e3a12c07a8b43392c846fe11789298d4a4ef39b6565dce02098aff</x:v>
      </x:c>
      <x:c r="O168" s="8"/>
      <x:c r="P168" s="8"/>
      <x:c r="Q168" s="8"/>
      <x:c r="R168" s="8"/>
    </x:row>
    <x:row r="169" ht="90" customHeight="1">
      <x:c r="A169" s="4" t="str">
        <x:v>P165</x:v>
      </x:c>
      <x:c r="B169" s="4" t="str">
        <x:v>WMF Kitchenminis - Deshidratadora Snack To Go, 250 W con 5 bandejas altura regulable, pantalla LCD, 30-70ºC, libre de BPA,Tritan, Acero Inoxidable cromargan</x:v>
      </x:c>
      <x:c r="C169" s="4" t="str">
        <x:v>食物干燥机</x:v>
      </x:c>
      <x:c r="D169" s="4" t="str">
        <x:v>制作干燥食物</x:v>
      </x:c>
      <x:c r="E169" s="4" t="str">
        <x:v>观察</x:v>
      </x:c>
      <x:c r="F169" s="4" t="str">
        <x:v>经营边界未确认</x:v>
      </x:c>
      <x:c r="G169" s="4" t="str"/>
      <x:c r="H169" s="4" t="str"/>
      <x:c r="I169" s="4" t="str">
        <x:v>none</x:v>
      </x:c>
      <x:c r="J169" s="4" t="str">
        <x:v>多托盘控温干燥机器明确，不是收纳托盘；不据五层结构判断工业级</x:v>
      </x:c>
      <x:c r="K169" s="4" t="str">
        <x:v>温控与食品安全未知</x:v>
      </x:c>
      <x:c r="L169" s="4" t="str">
        <x:v>https://www.amazon.es/WMF-Negro-Plata-Transparente-secador/dp/B075KXXD3G/ref=sr_1_2157_mod_primary_new?dib=eyJ2IjoiMSJ9.UFfjKC4jeQCTmNd55iOx7369EepN7Fi9y-Kq4DbT4UPNctv3jxah9WzpZDZIB0bJpOV1eZnrCe4EcwMR7gVsVvgNYy-1u2BoWRyYqONN0_e8YRS5H3WFgPtsjjBwf6SUshR3k98Z2GgMT6P-HkcFfkkaQlFanbkQOo9YSV9zemZqdeBbx5CwHrBF8jL1AdO7OVq8QA6PGiICvhZO3cb0wPZOf7QiHwhA7ZlZ9tWAB6fR5JVWserrMr-9QFU4r-y-dE2-ndb2Ey7N2HzVPXsM6WAknnW8W-fLQZV8OIzKr1A.isEUlXqB07tNb9j6GWIlSxQKvPHlZ5ZStF-kKg46MJk&amp;dib_tag=se&amp;qid=1792598447&amp;s=kitchen&amp;sbo=RZvfv%2F%2FHxDF%2BO5021pAnSA%3D%3D&amp;sr=1-2157&amp;srs=88626813031&amp;xpid=CeuYXw3Vdr0Bg</x:v>
      </x:c>
      <x:c r="M169" s="4" t="str">
        <x:v>B0_84bacc4c6b66_021835</x:v>
      </x:c>
      <x:c r="N169" s="4" t="str">
        <x:v>0951a8a1ebe12609f8fb26187dcaab3231efd6a35172facae5265766dd247c82</x:v>
      </x:c>
      <x:c r="O169" s="8"/>
      <x:c r="P169" s="8"/>
      <x:c r="Q169" s="8"/>
      <x:c r="R169" s="8"/>
    </x:row>
    <x:row r="170" ht="90" customHeight="1">
      <x:c r="A170" s="4" t="str">
        <x:v>P166</x:v>
      </x:c>
      <x:c r="B170" s="4" t="str">
        <x:v>Opinel Le Petit Chef Cuchillo, Stainless Steel, Gris, Medium</x:v>
      </x:c>
      <x:c r="C170" s="4" t="str">
        <x:v>刀具</x:v>
      </x:c>
      <x:c r="D170" s="4" t="str">
        <x:v>切割食物用途候选</x:v>
      </x:c>
      <x:c r="E170" s="4" t="str">
        <x:v>保留</x:v>
      </x:c>
      <x:c r="F170" s="4" t="str"/>
      <x:c r="G170" s="4" t="str">
        <x:v>2542660</x:v>
      </x:c>
      <x:c r="H170" s="4" t="str">
        <x:v>Cuchillos</x:v>
      </x:c>
      <x:c r="I170" s="4" t="str">
        <x:v>same_type</x:v>
      </x:c>
      <x:c r="J170" s="4" t="str">
        <x:v>刀具主体明确，不根据Le Petit Chef系列推断儿童适龄或附件</x:v>
      </x:c>
      <x:c r="K170" s="4" t="str">
        <x:v>刀型、适龄与安全未知</x:v>
      </x:c>
      <x:c r="L170" s="4" t="str">
        <x:v>https://www.amazon.es/Opinel-001746-Cuchillo-Protector-Stainless/dp/B00GK67P7O/ref=sr_1_3416?dib=eyJ2IjoiMSJ9.cZVUjn7ZC-LGr8zzyUtVQJtFiID-FR9zfpAC8u84lNyzt1lVhhA2it7Xiar1BkFMJLu_SHolss5cjAsEFHrhzqGtUiFo860RclOLJu5Q36PtnVP3AjA-C234kmG2iwY7bJ9cAAILpkKaODSKAAxYDeTsEc80o-0VHOuZ1fSvjKtSa2Riz4K2-p-B4c_8gUdUkxaH-YG23Vp_qy27KadyLqVyBItaWpZqrQTMzDATcxT8Npv_IEpQsBuWJBdoy_QG6bQCw6ysRiKt27itrHNqfe-0PHKHNACmIgqVEF4RVjI.IesKBow0L-3DKmH1Uk1hPRkmOEOkrtudmuVsvQQa05A&amp;dib_tag=se&amp;qid=1792652080&amp;s=kitchen&amp;sr=1-3416&amp;srs=88626813031&amp;xpid=qpnO31ULD-dQ4</x:v>
      </x:c>
      <x:c r="M170" s="4" t="str">
        <x:v>B0_84bacc4c6b66_014722</x:v>
      </x:c>
      <x:c r="N170" s="4" t="str">
        <x:v>0416d49fae7b46d87e2256f251f65113f1deb0685e06d35da56ba3fcffd00599</x:v>
      </x:c>
      <x:c r="O170" s="8"/>
      <x:c r="P170" s="8"/>
      <x:c r="Q170" s="8"/>
      <x:c r="R170" s="8"/>
    </x:row>
    <x:row r="171" ht="90" customHeight="1">
      <x:c r="A171" s="4" t="str">
        <x:v>P167</x:v>
      </x:c>
      <x:c r="B171" s="4" t="str">
        <x:v>PLIGREAT Tapiz vertical para colgar en la pared, diseño de dragón, 2 | Tapiz vertical "Árbol de la vida" para dormir y salón, diseño de dragón, largo y estrecho, 130 x 33 cm</x:v>
      </x:c>
      <x:c r="C171" s="4" t="str">
        <x:v>长条装饰壁毯</x:v>
      </x:c>
      <x:c r="D171" s="4" t="str">
        <x:v>墙面装饰</x:v>
      </x:c>
      <x:c r="E171" s="4" t="str">
        <x:v>保留</x:v>
      </x:c>
      <x:c r="F171" s="4" t="str"/>
      <x:c r="G171" s="4" t="str">
        <x:v>3218008</x:v>
      </x:c>
      <x:c r="H171" s="4" t="str">
        <x:v>Decoración de pared</x:v>
      </x:c>
      <x:c r="I171" s="4" t="str">
        <x:v>related_type</x:v>
      </x:c>
      <x:c r="J171" s="4" t="str">
        <x:v>壁毯主体明确，龙和生命树为图案文字，不补充具体图案样式</x:v>
      </x:c>
      <x:c r="K171" s="4" t="str">
        <x:v>面料及实际图案未知</x:v>
      </x:c>
      <x:c r="L171" s="4" t="str">
        <x:v>https://www.amazon.es/PLIGREAT-vertical-colgar-dise%C3%B1o-estrecho/dp/B0HCHXP2Q8?psc=1</x:v>
      </x:c>
      <x:c r="M171" s="4" t="str">
        <x:v>B0_84bacc4c6b66_015123</x:v>
      </x:c>
      <x:c r="N171" s="4" t="str">
        <x:v>6c6f72506f1e3644f58e854a12df961d726e7acd9dad8351e3dca5f416e5ea2a</x:v>
      </x:c>
      <x:c r="O171" s="8"/>
      <x:c r="P171" s="8"/>
      <x:c r="Q171" s="8"/>
      <x:c r="R171" s="8"/>
    </x:row>
    <x:row r="172" ht="90" customHeight="1">
      <x:c r="A172" s="4" t="str">
        <x:v>P168</x:v>
      </x:c>
      <x:c r="B172" s="4" t="str">
        <x:v>Buzón de Puerta para Correo, Alquiler, depósito y Llave Nocturna – Buzón de Bloqueo de Montaje en Puerta con Acceso Trasero a través de la Puerta (Ranura de Correo de 22,8 x 6,3 cm)</x:v>
      </x:c>
      <x:c r="C172" s="4" t="str">
        <x:v>穿门式锁闭投递箱</x:v>
      </x:c>
      <x:c r="D172" s="4" t="str">
        <x:v>收取邮件和投递物</x:v>
      </x:c>
      <x:c r="E172" s="4" t="str">
        <x:v>观察</x:v>
      </x:c>
      <x:c r="F172" s="4" t="str">
        <x:v>专用或安装配件</x:v>
      </x:c>
      <x:c r="G172" s="4" t="str"/>
      <x:c r="H172" s="4" t="str"/>
      <x:c r="I172" s="4" t="str">
        <x:v>none</x:v>
      </x:c>
      <x:c r="J172" s="4" t="str">
        <x:v>投递箱需穿门安装，门衣架不是同类；钥匙为可投递物而非专用钥匙柜</x:v>
      </x:c>
      <x:c r="K172" s="4" t="str">
        <x:v>安装开孔及安全未知</x:v>
      </x:c>
      <x:c r="L172" s="4" t="str">
        <x:v>https://www.amazon.es/puerta-correo-alquiler-dep%C3%B3sito-nocturna/dp/B08X14P164?psc=1</x:v>
      </x:c>
      <x:c r="M172" s="4" t="str">
        <x:v>B0_84bacc4c6b66_024663</x:v>
      </x:c>
      <x:c r="N172" s="4" t="str">
        <x:v>cab7385e540b785dc64f033489568f7193d79ce13d6a1c88bec8b56c85a80cbf</x:v>
      </x:c>
      <x:c r="O172" s="8"/>
      <x:c r="P172" s="8"/>
      <x:c r="Q172" s="8"/>
      <x:c r="R172" s="8"/>
    </x:row>
    <x:row r="173" ht="90" customHeight="1">
      <x:c r="A173" s="4" t="str">
        <x:v>P169</x:v>
      </x:c>
      <x:c r="B173" s="4" t="str">
        <x:v>FUX 10 Rosetas para tuberias de calefaccion radiator - 12mm-35mm | Cubre los pasos de tubería, acabado limpio junto al radiador, montaje sin herramientas, negro, Plástico</x:v>
      </x:c>
      <x:c r="C173" s="4" t="str">
        <x:v>管道孔装饰圈</x:v>
      </x:c>
      <x:c r="D173" s="4" t="str">
        <x:v>遮盖管道穿孔</x:v>
      </x:c>
      <x:c r="E173" s="4" t="str">
        <x:v>观察</x:v>
      </x:c>
      <x:c r="F173" s="4" t="str">
        <x:v>专用或安装配件</x:v>
      </x:c>
      <x:c r="G173" s="4" t="str"/>
      <x:c r="H173" s="4" t="str"/>
      <x:c r="I173" s="4" t="str">
        <x:v>none</x:v>
      </x:c>
      <x:c r="J173" s="4" t="str">
        <x:v>装饰圈为管路安装配件，不是散热器或塑料餐具</x:v>
      </x:c>
      <x:c r="K173" s="4" t="str">
        <x:v>管径与安装适配未知</x:v>
      </x:c>
      <x:c r="L173" s="4" t="str">
        <x:v>https://www.amazon.es/individuales-calefaccion-diferentes-di%C3%A1metros-embellecedor/dp/B07FDCCZ29?psc=1</x:v>
      </x:c>
      <x:c r="M173" s="4" t="str">
        <x:v>B0_84bacc4c6b66_024135</x:v>
      </x:c>
      <x:c r="N173" s="4" t="str">
        <x:v>74bfa6d24888e61c45892728c02c0fb00a92432236db48863efd2e76dd97b7d7</x:v>
      </x:c>
      <x:c r="O173" s="8"/>
      <x:c r="P173" s="8"/>
      <x:c r="Q173" s="8"/>
      <x:c r="R173" s="8"/>
    </x:row>
    <x:row r="174" ht="90" customHeight="1">
      <x:c r="A174" s="4" t="str">
        <x:v>P170</x:v>
      </x:c>
      <x:c r="B174" s="4" t="str">
        <x:v>Caja Fuerte para Pistolas y Municiones con Cerradura de Llave Brihard - 25x35x25cm - Capacidad de 20L - Resistente Pared Gruesa para Almacenamiento en el Hogar y el Coche</x:v>
      </x:c>
      <x:c r="C174" s="4" t="str">
        <x:v>枪械弹药保管箱</x:v>
      </x:c>
      <x:c r="D174" s="4" t="str">
        <x:v>专用物品保管</x:v>
      </x:c>
      <x:c r="E174" s="4" t="str">
        <x:v>观察</x:v>
      </x:c>
      <x:c r="F174" s="4" t="str">
        <x:v>经营边界未确认</x:v>
      </x:c>
      <x:c r="G174" s="4" t="str">
        <x:v>3218842</x:v>
      </x:c>
      <x:c r="H174" s="4" t="str">
        <x:v>Mini caja fuerte</x:v>
      </x:c>
      <x:c r="I174" s="4" t="str">
        <x:v>related_type</x:v>
      </x:c>
      <x:c r="J174" s="4" t="str">
        <x:v>主体是保管箱不是枪械；Action迷你保险箱只支持相关结构，专用用途范围待确认</x:v>
      </x:c>
      <x:c r="K174" s="4" t="str">
        <x:v>实际防护与经营边界未知</x:v>
      </x:c>
      <x:c r="L174" s="4" t="str">
        <x:v>https://www.amazon.es/Peque%C3%B1a-Pistolas-Municiones-Cerradura-Brihard/dp/B0BN6PDQ16?psc=1</x:v>
      </x:c>
      <x:c r="M174" s="4" t="str">
        <x:v>B0_84bacc4c6b66_015523</x:v>
      </x:c>
      <x:c r="N174" s="4" t="str">
        <x:v>5f3e69e3d20685ecf4ca2b8bf42f8a2b14bfe2b6f4086b76d112d489ecfe3117</x:v>
      </x:c>
      <x:c r="O174" s="8"/>
      <x:c r="P174" s="8"/>
      <x:c r="Q174" s="8"/>
      <x:c r="R174" s="8"/>
    </x:row>
    <x:row r="175" ht="90" customHeight="1">
      <x:c r="A175" s="4" t="str">
        <x:v>P171</x:v>
      </x:c>
      <x:c r="B175" s="4" t="str">
        <x:v>Dispensador de agua eléctrico con refrigeración fría y caliente, 500 W | Mini dispensador de agua fría, dispensador de agua caliente, 4,5 – 18,9 l, cubo para oficina, hogar, blanco y negro</x:v>
      </x:c>
      <x:c r="C175" s="4" t="str">
        <x:v>冷热饮水机</x:v>
      </x:c>
      <x:c r="D175" s="4" t="str">
        <x:v>分配饮用水</x:v>
      </x:c>
      <x:c r="E175" s="4" t="str">
        <x:v>观察</x:v>
      </x:c>
      <x:c r="F175" s="4" t="str">
        <x:v>经营边界未确认</x:v>
      </x:c>
      <x:c r="G175" s="4" t="str">
        <x:v>3217699</x:v>
      </x:c>
      <x:c r="H175" s="4" t="str">
        <x:v>Dispensador de agua caliente Tomado</x:v>
      </x:c>
      <x:c r="I175" s="4" t="str">
        <x:v>related_type</x:v>
      </x:c>
      <x:c r="J175" s="4" t="str">
        <x:v>饮水机与Action热水分配器相关，不等同生活用水固定热水器</x:v>
      </x:c>
      <x:c r="K175" s="4" t="str">
        <x:v>容量口径、供水与制冷未知</x:v>
      </x:c>
      <x:c r="L175" s="4" t="str">
        <x:v>https://www.amazon.es/Dispensador-el%C3%A9ctrico-refrigeraci%C3%B3n-caliente-dispensador/dp/B0HFQYYJFW?psc=1</x:v>
      </x:c>
      <x:c r="M175" s="4" t="str">
        <x:v>B0_84bacc4c6b66_006283</x:v>
      </x:c>
      <x:c r="N175" s="4" t="str">
        <x:v>97ca7b3779393987bcbe37adab05d1ebc90bc7dd68b14fb39498fe24c7959524</x:v>
      </x:c>
      <x:c r="O175" s="8"/>
      <x:c r="P175" s="8"/>
      <x:c r="Q175" s="8"/>
      <x:c r="R175" s="8"/>
    </x:row>
    <x:row r="176" ht="90" customHeight="1">
      <x:c r="A176" s="4" t="str">
        <x:v>P172</x:v>
      </x:c>
      <x:c r="B176" s="4" t="str">
        <x:v>Meross Enchufe Inteligente WiFi con Medición de Consumo y Temporizador, 16A | Tomada Inteligente Compatible con Alexa y Google Home, Control Remoto por APP &amp; Voz, Ahorro Energético, Smart Home, 2 Pack</x:v>
      </x:c>
      <x:c r="C176" s="4" t="str">
        <x:v>智能插座</x:v>
      </x:c>
      <x:c r="D176" s="4" t="str">
        <x:v>控制插电设备及监测用电</x:v>
      </x:c>
      <x:c r="E176" s="4" t="str">
        <x:v>保留</x:v>
      </x:c>
      <x:c r="F176" s="4" t="str"/>
      <x:c r="G176" s="4" t="str">
        <x:v>3202087</x:v>
      </x:c>
      <x:c r="H176" s="4" t="str">
        <x:v>Enchufe inteligente LSC Smart Connect</x:v>
      </x:c>
      <x:c r="I176" s="4" t="str">
        <x:v>same_type</x:v>
      </x:c>
      <x:c r="J176" s="4" t="str">
        <x:v>智能插座有Action直接同类，应用控制不等于复杂工业自动化</x:v>
      </x:c>
      <x:c r="K176" s="4" t="str">
        <x:v>负载、测量精度和协议兼容未知</x:v>
      </x:c>
      <x:c r="L176" s="4" t="str">
        <x:v>https://www.amazon.es/Inteligente-Medici%C3%B3n-Temporizador-Compatible-Energ%C3%A9tico/dp/B0GV41XB9Z?psc=1</x:v>
      </x:c>
      <x:c r="M176" s="4" t="str">
        <x:v>B0_84bacc4c6b66_010339</x:v>
      </x:c>
      <x:c r="N176" s="4" t="str">
        <x:v>3692629560e3e62eb227653557e45e25185e1825bed51620fb21ef83bace8418</x:v>
      </x:c>
      <x:c r="O176" s="8"/>
      <x:c r="P176" s="8"/>
      <x:c r="Q176" s="8"/>
      <x:c r="R176" s="8"/>
    </x:row>
    <x:row r="177" ht="90" customHeight="1">
      <x:c r="A177" s="4" t="str">
        <x:v>P173</x:v>
      </x:c>
      <x:c r="B177" s="4" t="str">
        <x:v>Alyvisun 3 Piezas Molde Silicona Freidora de Aire</x:v>
      </x:c>
      <x:c r="C177" s="4" t="str">
        <x:v>空气炸锅用硅胶内衬模具</x:v>
      </x:c>
      <x:c r="D177" s="4" t="str">
        <x:v>盛装食物辅助烹饪</x:v>
      </x:c>
      <x:c r="E177" s="4" t="str">
        <x:v>保留</x:v>
      </x:c>
      <x:c r="F177" s="4" t="str"/>
      <x:c r="G177" s="4" t="str">
        <x:v>3207873</x:v>
      </x:c>
      <x:c r="H177" s="4" t="str">
        <x:v>Molde de silicona para tartas</x:v>
      </x:c>
      <x:c r="I177" s="4" t="str">
        <x:v>related_type</x:v>
      </x:c>
      <x:c r="J177" s="4" t="str">
        <x:v>模具是附件，不是空气炸锅整机；与烘焙硅胶模具相关</x:v>
      </x:c>
      <x:c r="K177" s="4" t="str">
        <x:v>尺寸、耐热与食品接触未知</x:v>
      </x:c>
      <x:c r="L177" s="4" t="str">
        <x:v>https://www.amazon.es/Alyvisun-Air-Fryer-Reutilizable-Recipientes/dp/B0CY5FJBMV/ref=sr_1_810?dib=eyJ2IjoiMSJ9.aaj-Y53oKIp62RO9mbewicgzbgcjxk5Qw_kPS2CCFgn_Vk_GNHGbf4KABDtZMto4gQUevKrxMsf47wpqjwrO2ZouXS7yBLWjsffqF6MuznaYE6lJ1jzrY0_3jJ5QGewhGqm02aSJp6KA324aeMJ2egtRZrCacb_MlDjvOJsgIos-Jo4bpPsjWGT3ytcvIiQEPaTnnFzaWhVCoD7LPcdbzl4jQ3pFH5zMhaNmPPy-xCwe134xIhl4Ex0fGQjMMPTqa4i09qUnbfDYwUw8woKdAD-F2ILJ-cVWh1zmmEP3TBY.utv_29SROQHW6GGENmDaesZBqRqc-X0ZODtEHvT3cWU&amp;dib_tag=se&amp;qid=1792649514&amp;s=kitchen&amp;sr=1-810&amp;srs=88626813031&amp;xpid=qpnO31ULD-dQ4</x:v>
      </x:c>
      <x:c r="M177" s="4" t="str">
        <x:v>B0_84bacc4c6b66_001233</x:v>
      </x:c>
      <x:c r="N177" s="4" t="str">
        <x:v>a117b6d4d41c77fb8553bb4754bbe500470fde6b6d597fdd2694f879993d091e</x:v>
      </x:c>
      <x:c r="O177" s="8"/>
      <x:c r="P177" s="8"/>
      <x:c r="Q177" s="8"/>
      <x:c r="R177" s="8"/>
    </x:row>
    <x:row r="178" ht="90" customHeight="1">
      <x:c r="A178" s="4" t="str">
        <x:v>P174</x:v>
      </x:c>
      <x:c r="B178" s="4" t="str">
        <x:v>Servilleteros de Navidad, 6 servilleteros de ciervo dorados, servilleteros de aleación de metal, hebillas para decoración de mesa, boda, fiesta de Navidad, cena, Acción de Gracias</x:v>
      </x:c>
      <x:c r="C178" s="4" t="str">
        <x:v>圣诞餐巾环</x:v>
      </x:c>
      <x:c r="D178" s="4" t="str">
        <x:v>整理餐巾及桌面装饰</x:v>
      </x:c>
      <x:c r="E178" s="4" t="str">
        <x:v>保留</x:v>
      </x:c>
      <x:c r="F178" s="4" t="str"/>
      <x:c r="G178" s="4" t="str">
        <x:v>3206897</x:v>
      </x:c>
      <x:c r="H178" s="4" t="str">
        <x:v>Servilletero con servilletas</x:v>
      </x:c>
      <x:c r="I178" s="4" t="str">
        <x:v>related_type</x:v>
      </x:c>
      <x:c r="J178" s="4" t="str">
        <x:v>hebillas提示餐巾扣环，Action餐巾架为相关收纳器具但形态未知</x:v>
      </x:c>
      <x:c r="K178" s="4" t="str">
        <x:v>金属及开口尺寸未知</x:v>
      </x:c>
      <x:c r="L178" s="4" t="str">
        <x:v>https://www.amazon.es/Servilleteros-Navidad-servilleteros-aleaci%C3%B3n-decoraci%C3%B3n/dp/B0DJ788FHK?psc=1</x:v>
      </x:c>
      <x:c r="M178" s="4" t="str">
        <x:v>B0_84bacc4c6b66_018494</x:v>
      </x:c>
      <x:c r="N178" s="4" t="str">
        <x:v>e8f70d9d6fe720fb8b070a89704f1ca172f5ed9c6ab6f29168b5ad9f668301cb</x:v>
      </x:c>
      <x:c r="O178" s="8"/>
      <x:c r="P178" s="8"/>
      <x:c r="Q178" s="8"/>
      <x:c r="R178" s="8"/>
    </x:row>
    <x:row r="179" ht="90" customHeight="1">
      <x:c r="A179" s="4" t="str">
        <x:v>P175</x:v>
      </x:c>
      <x:c r="B179" s="4" t="str">
        <x:v>Vaporeta limpieza hogar | Limpiador de vapor portátil 1200W | Tank: 850ml | calentamiento instantáneo de 15s | Steam Cleaner con accesorios de 7Pcs |Para Sofás, Alfombras, Juntas, Limpieza sin Químicos</x:v>
      </x:c>
      <x:c r="C179" s="4" t="str">
        <x:v>便携蒸汽清洁机</x:v>
      </x:c>
      <x:c r="D179" s="4" t="str">
        <x:v>家居蒸汽清洁</x:v>
      </x:c>
      <x:c r="E179" s="4" t="str">
        <x:v>观察</x:v>
      </x:c>
      <x:c r="F179" s="4" t="str">
        <x:v>经营边界未确认</x:v>
      </x:c>
      <x:c r="G179" s="4" t="str">
        <x:v>3224611</x:v>
      </x:c>
      <x:c r="H179" s="4" t="str">
        <x:v>Limpiador a vapor Leifheit CleanTenso Power</x:v>
      </x:c>
      <x:c r="I179" s="4" t="str">
        <x:v>same_type</x:v>
      </x:c>
      <x:c r="J179" s="4" t="str">
        <x:v>主体为蒸汽机器，不是清洁剂套装；Action同类可参照</x:v>
      </x:c>
      <x:c r="K179" s="4" t="str">
        <x:v>蒸汽参数和附件未知</x:v>
      </x:c>
      <x:c r="L179" s="4" t="str">
        <x:v>https://www.amazon.es/Vaporeta-limpieza-hogar-Limpiador-port%C3%A1til/dp/B0H3P6YDRB?psc=1</x:v>
      </x:c>
      <x:c r="M179" s="4" t="str">
        <x:v>B0_84bacc4c6b66_021256</x:v>
      </x:c>
      <x:c r="N179" s="4" t="str">
        <x:v>390d91bc7c0cc3e3ac3b5474f2b484c27afe27f53c1e666bcf5d5d3beee159fc</x:v>
      </x:c>
      <x:c r="O179" s="8"/>
      <x:c r="P179" s="8"/>
      <x:c r="Q179" s="8"/>
      <x:c r="R179" s="8"/>
    </x:row>
    <x:row r="180" ht="90" customHeight="1">
      <x:c r="A180" s="4" t="str">
        <x:v>P176</x:v>
      </x:c>
      <x:c r="B180" s="4" t="str">
        <x:v>Elite Gourmet EC008X Percolador clásico de café de 8 tazas para estufa, percolador de café transparente, perilla de progreso de preparación, mango de tacto frío, acero inoxidable</x:v>
      </x:c>
      <x:c r="C180" s="4" t="str">
        <x:v>炉用循环咖啡壶</x:v>
      </x:c>
      <x:c r="D180" s="4" t="str">
        <x:v>炉上冲煮咖啡</x:v>
      </x:c>
      <x:c r="E180" s="4" t="str">
        <x:v>保留</x:v>
      </x:c>
      <x:c r="F180" s="4" t="str"/>
      <x:c r="G180" s="4" t="str">
        <x:v>3203560</x:v>
      </x:c>
      <x:c r="H180" s="4" t="str">
        <x:v>Cafetera Moka</x:v>
      </x:c>
      <x:c r="I180" s="4" t="str">
        <x:v>related_type</x:v>
      </x:c>
      <x:c r="J180" s="4" t="str">
        <x:v>标题明确para estufa，属于外部加热咖啡器具；与Moka相关但冲煮结构不同</x:v>
      </x:c>
      <x:c r="K180" s="4" t="str">
        <x:v>炉具适配与容量未知</x:v>
      </x:c>
      <x:c r="L180" s="4" t="str">
        <x:v>https://www.amazon.es/Elite-Gourmet-EC008X-transparente-preparaci%C3%B3n/dp/B0CVR38CP2?psc=1</x:v>
      </x:c>
      <x:c r="M180" s="4" t="str">
        <x:v>B0_84bacc4c6b66_006904</x:v>
      </x:c>
      <x:c r="N180" s="4" t="str">
        <x:v>c01639ad16ebf689491bdd299cd9bc9adb01e8daeecdc6c7287393e0c72761d3</x:v>
      </x:c>
      <x:c r="O180" s="8"/>
      <x:c r="P180" s="8"/>
      <x:c r="Q180" s="8"/>
      <x:c r="R180" s="8"/>
    </x:row>
    <x:row r="181" ht="90" customHeight="1">
      <x:c r="A181" s="4" t="str">
        <x:v>P177</x:v>
      </x:c>
      <x:c r="B181" s="4" t="str">
        <x:v>VASAGLE Armario de Baño, con Cajón, Puerta de Persiana, 32 x 30 x 87 cm</x:v>
      </x:c>
      <x:c r="C181" s="4" t="str">
        <x:v>浴室储物柜</x:v>
      </x:c>
      <x:c r="D181" s="4" t="str">
        <x:v>浴室储物</x:v>
      </x:c>
      <x:c r="E181" s="4" t="str">
        <x:v>观察</x:v>
      </x:c>
      <x:c r="F181" s="4" t="str">
        <x:v>经营边界未确认</x:v>
      </x:c>
      <x:c r="G181" s="4" t="str">
        <x:v>3217564</x:v>
      </x:c>
      <x:c r="H181" s="4" t="str">
        <x:v>Armario</x:v>
      </x:c>
      <x:c r="I181" s="4" t="str">
        <x:v>same_type</x:v>
      </x:c>
      <x:c r="J181" s="4" t="str">
        <x:v>完整柜体属于家具，抽屉和门板不是单独销售对象</x:v>
      </x:c>
      <x:c r="K181" s="4" t="str">
        <x:v>装配、承重和耐湿未知</x:v>
      </x:c>
      <x:c r="L181" s="4" t="str">
        <x:v>https://www.amazon.es/VASAGLE-Estrecho-Almacenaje-Dormitorio-BBC43WT/dp/B076P7K1KX/ref=sr_1_983?dib=eyJ2IjoiMSJ9.jdks631raPg8g8wtyMqUcVY0UfXbQw2xo7b4Es6tvPIvC30iAwrPv4JYxoOaXjah7SY2_S_7xX9I5eXhxRkwD3-pQ7UEEfdOW1zyCL4YrYzohyhHFN6tRrGCNWOjSitBzE2v7HSNdRVaEBsezHswDbXL9P-SiovLgL0uq1aDfQhIn44FsCnnEicCKpUA-VBnVsXMQ4O647zizPtIrGVGBqC-NCO_uxuVZyGiBNP3mT_K-TL5HIIOR9XWfFEl7qs_xjhSDrarKDnJyTUQs0SH5fgvpWvqSSAln5I-eh2ALKk.VKuhr2dIMeRDAthMtaQyeDYfER04h9ubGApMPFwMWUg&amp;dib_tag=se&amp;qid=1792597421&amp;s=kitchen&amp;sr=1-983&amp;srs=88626813031&amp;xpid=CeuYXw3Vdr0Bg</x:v>
      </x:c>
      <x:c r="M181" s="4" t="str">
        <x:v>B0_84bacc4c6b66_020880</x:v>
      </x:c>
      <x:c r="N181" s="4" t="str">
        <x:v>5c20f316366421d16fc601f1ea959f639c38a35bb91070c92f3f2386021eff21</x:v>
      </x:c>
      <x:c r="O181" s="8"/>
      <x:c r="P181" s="8"/>
      <x:c r="Q181" s="8"/>
      <x:c r="R181" s="8"/>
    </x:row>
    <x:row r="182" ht="90" customHeight="1">
      <x:c r="A182" s="4" t="str">
        <x:v>P178</x:v>
      </x:c>
      <x:c r="B182" s="4" t="str">
        <x:v>Anstore Vajilla Blanca Para Fiesta De 25 Invitados, 200 Platos Y Cubiertos De Papel Vintage Con Borde Dorada, Vajilla Desechable Y Exquisita Para CumpleañOs Con Cuchara, Tenedor, Cuchillo, Servilletas</x:v>
      </x:c>
      <x:c r="C182" s="4" t="str">
        <x:v>派对餐具套装</x:v>
      </x:c>
      <x:c r="D182" s="4" t="str">
        <x:v>多人用餐和宴会布置</x:v>
      </x:c>
      <x:c r="E182" s="4" t="str">
        <x:v>保留</x:v>
      </x:c>
      <x:c r="F182" s="4" t="str"/>
      <x:c r="G182" s="4" t="str">
        <x:v>3223488</x:v>
      </x:c>
      <x:c r="H182" s="4" t="str">
        <x:v>Set vajilla</x:v>
      </x:c>
      <x:c r="I182" s="4" t="str">
        <x:v>same_type</x:v>
      </x:c>
      <x:c r="J182" s="4" t="str">
        <x:v>盘与刀叉餐巾组成同一用餐套装，Action餐具套装可同类，不证明全部纸材</x:v>
      </x:c>
      <x:c r="K182" s="4" t="str">
        <x:v>材料分配与件数口径未知</x:v>
      </x:c>
      <x:c r="L182" s="4" t="str">
        <x:v>https://www.amazon.es/Anstore-Invitados-Desechable-Cumplea%C3%B1Os-Servilletas/dp/B0FGJH37JB?psc=1</x:v>
      </x:c>
      <x:c r="M182" s="4" t="str">
        <x:v>B0_84bacc4c6b66_001625</x:v>
      </x:c>
      <x:c r="N182" s="4" t="str">
        <x:v>532190444b4f64feaf0b5c2a248bec71fd159edce7b27f38bddddfb825c431dc</x:v>
      </x:c>
      <x:c r="O182" s="8"/>
      <x:c r="P182" s="8"/>
      <x:c r="Q182" s="8"/>
      <x:c r="R182" s="8"/>
    </x:row>
    <x:row r="183" ht="90" customHeight="1">
      <x:c r="A183" s="4" t="str">
        <x:v>P179</x:v>
      </x:c>
      <x:c r="B183" s="4" t="str">
        <x:v>GUAKOVRAN 6 ganchos de techo autoadhesivos sin perforación, capacidad de carga de 3 kg</x:v>
      </x:c>
      <x:c r="C183" s="4" t="str">
        <x:v>自粘吊挂钩</x:v>
      </x:c>
      <x:c r="D183" s="4" t="str">
        <x:v>悬挂轻物品</x:v>
      </x:c>
      <x:c r="E183" s="4" t="str">
        <x:v>保留</x:v>
      </x:c>
      <x:c r="F183" s="4" t="str"/>
      <x:c r="G183" s="4" t="str">
        <x:v>2568437</x:v>
      </x:c>
      <x:c r="H183" s="4" t="str">
        <x:v>Ganchos Tesa</x:v>
      </x:c>
      <x:c r="I183" s="4" t="str">
        <x:v>related_type</x:v>
      </x:c>
      <x:c r="J183" s="4" t="str">
        <x:v>吊挂钩是通用五金，与Action挂钩相关；承重不作为已验证事实</x:v>
      </x:c>
      <x:c r="K183" s="4" t="str">
        <x:v>安装面与承载未知</x:v>
      </x:c>
      <x:c r="L183" s="4" t="str">
        <x:v>https://www.amazon.es/GUAKOVRAN-ganchos-autoadhesivos-perforaci%C3%B3n-capacidad/dp/B0H9SSJ74F?psc=1</x:v>
      </x:c>
      <x:c r="M183" s="4" t="str">
        <x:v>B0_84bacc4c6b66_008313</x:v>
      </x:c>
      <x:c r="N183" s="4" t="str">
        <x:v>f31b97bac8f23ab707cfd57bb24f799d31892470eef2f0e048a6dfd24557e2fc</x:v>
      </x:c>
      <x:c r="O183" s="8"/>
      <x:c r="P183" s="8"/>
      <x:c r="Q183" s="8"/>
      <x:c r="R183" s="8"/>
    </x:row>
    <x:row r="184" ht="90" customHeight="1">
      <x:c r="A184" s="4" t="str">
        <x:v>P180</x:v>
      </x:c>
      <x:c r="B184" s="4" t="str">
        <x:v>Bialetti - Cafetera Moka de Inducción, Adecuada para todo tipo de Placas, 6 Tazas de Café Espresso (280 Ml), Negro [Clase de eficiencia energética A]</x:v>
      </x:c>
      <x:c r="C184" s="4" t="str">
        <x:v>摩卡咖啡壶</x:v>
      </x:c>
      <x:c r="D184" s="4" t="str">
        <x:v>炉上制作咖啡</x:v>
      </x:c>
      <x:c r="E184" s="4" t="str">
        <x:v>保留</x:v>
      </x:c>
      <x:c r="F184" s="4" t="str"/>
      <x:c r="G184" s="4" t="str">
        <x:v>3203560</x:v>
      </x:c>
      <x:c r="H184" s="4" t="str">
        <x:v>Cafetera Moka</x:v>
      </x:c>
      <x:c r="I184" s="4" t="str">
        <x:v>same_type</x:v>
      </x:c>
      <x:c r="J184" s="4" t="str">
        <x:v>摩卡壶有Action直接同类，电磁炉适用不等于内置电加热</x:v>
      </x:c>
      <x:c r="K184" s="4" t="str">
        <x:v>炉具兼容和容量未知</x:v>
      </x:c>
      <x:c r="L184" s="4" t="str">
        <x:v>https://www.amazon.es/Bialetti-Induction-Cafetera-inducci%C3%B3n-aluminio/dp/B089LY6WFR?psc=1</x:v>
      </x:c>
      <x:c r="M184" s="4" t="str">
        <x:v>B0_84bacc4c6b66_002808</x:v>
      </x:c>
      <x:c r="N184" s="4" t="str">
        <x:v>76d2037f53767f074681e504d4d35b6d6305f74018206aabcc8e85e454dd7a05</x:v>
      </x:c>
      <x:c r="O184" s="8"/>
      <x:c r="P184" s="8"/>
      <x:c r="Q184" s="8"/>
      <x:c r="R184" s="8"/>
    </x:row>
    <x:row r="185" ht="90" customHeight="1">
      <x:c r="A185" s="4" t="str">
        <x:v>P181</x:v>
      </x:c>
      <x:c r="B185" s="4" t="str">
        <x:v>PAINTUBER Pintura Antihumedad y Anticondensación Interior para Paredes y Techos 2 L - Pintura Mineral Transpirable Mate al Agua en Bolsa DoyPack - Baño, Cocina y Dormitorio, Ocre Suave</x:v>
      </x:c>
      <x:c r="C185" s="4" t="str">
        <x:v>室内防潮墙面漆</x:v>
      </x:c>
      <x:c r="D185" s="4" t="str">
        <x:v>涂饰墙面</x:v>
      </x:c>
      <x:c r="E185" s="4" t="str">
        <x:v>保留</x:v>
      </x:c>
      <x:c r="F185" s="4" t="str"/>
      <x:c r="G185" s="4" t="str">
        <x:v>3008512</x:v>
      </x:c>
      <x:c r="H185" s="4" t="str">
        <x:v>Pintura para baño y cocina Home Vision blanco mate</x:v>
      </x:c>
      <x:c r="I185" s="4" t="str">
        <x:v>related_type</x:v>
      </x:c>
      <x:c r="J185" s="4" t="str">
        <x:v>墙漆与Action厨卫墙漆为相关DIY涂料，防潮性能只是声称</x:v>
      </x:c>
      <x:c r="K185" s="4" t="str">
        <x:v>配方与防潮效果未知</x:v>
      </x:c>
      <x:c r="L185" s="4" t="str">
        <x:v>https://www.amazon.es/PAINTUBER-Pintura-Antihumedad-Anticondensaci%C3%B3n-Interior/dp/B0HMHGZVZM?psc=1</x:v>
      </x:c>
      <x:c r="M185" s="4" t="str">
        <x:v>B0_84bacc4c6b66_014979</x:v>
      </x:c>
      <x:c r="N185" s="4" t="str">
        <x:v>e7903b1ef09f29a81c3ca1da9590f4b8ec5d56461ace22a9bb85500f58b17328</x:v>
      </x:c>
      <x:c r="O185" s="8"/>
      <x:c r="P185" s="8"/>
      <x:c r="Q185" s="8"/>
      <x:c r="R185" s="8"/>
    </x:row>
    <x:row r="186" ht="90" customHeight="1">
      <x:c r="A186" s="4" t="str">
        <x:v>P182</x:v>
      </x:c>
      <x:c r="B186" s="4" t="str">
        <x:v>Bburago - F1 Aston Martin AMR25 Fórmula 1 2025#14 Alonso, Modelo de Coche diecast a Escala 1:43, réplica Oficial de Aston Martin, Detalles realistas, Edad Recomendada 3+ años</x:v>
      </x:c>
      <x:c r="C186" s="4" t="str">
        <x:v>压铸赛车模型</x:v>
      </x:c>
      <x:c r="D186" s="4" t="str">
        <x:v>陈列和模型玩耍</x:v>
      </x:c>
      <x:c r="E186" s="4" t="str">
        <x:v>保留</x:v>
      </x:c>
      <x:c r="F186" s="4" t="str"/>
      <x:c r="G186" s="4" t="str">
        <x:v>3202132</x:v>
      </x:c>
      <x:c r="H186" s="4" t="str">
        <x:v>Coche Teamsterz</x:v>
      </x:c>
      <x:c r="I186" s="4" t="str">
        <x:v>related_type</x:v>
      </x:c>
      <x:c r="J186" s="4" t="str">
        <x:v>明确比例模型而非真实赛车；Action玩具车相关但不证明压铸工艺和比例</x:v>
      </x:c>
      <x:c r="K186" s="4" t="str">
        <x:v>授权、材料和适龄未知</x:v>
      </x:c>
      <x:c r="L186" s="4" t="str">
        <x:v>https://www.amazon.es/Bburago-F%C3%B3rmula-Detalles-realistas-Recomendada/dp/B0GD2Y6DBW?psc=1</x:v>
      </x:c>
      <x:c r="M186" s="4" t="str">
        <x:v>B0_84bacc4c6b66_002631</x:v>
      </x:c>
      <x:c r="N186" s="4" t="str">
        <x:v>3f377e94ee5c38f36c45e77fa7b2824d7309805e0388aefbbcc5a2efcbfcf56e</x:v>
      </x:c>
      <x:c r="O186" s="8"/>
      <x:c r="P186" s="8"/>
      <x:c r="Q186" s="8"/>
      <x:c r="R186" s="8"/>
    </x:row>
    <x:row r="187" ht="90" customHeight="1">
      <x:c r="A187" s="4" t="str">
        <x:v>P183</x:v>
      </x:c>
      <x:c r="B187" s="4" t="str">
        <x:v>DUANT Victory - Juego de construcción de barco pirata, kit de vacaciones de la serie MOC, modelo de exhibición coleccionable para adultos</x:v>
      </x:c>
      <x:c r="C187" s="4" t="str">
        <x:v>海盗船拼搭模型套装</x:v>
      </x:c>
      <x:c r="D187" s="4" t="str">
        <x:v>拼搭和收藏展示</x:v>
      </x:c>
      <x:c r="E187" s="4" t="str">
        <x:v>保留</x:v>
      </x:c>
      <x:c r="F187" s="4" t="str"/>
      <x:c r="G187" s="4" t="str">
        <x:v>3207498</x:v>
      </x:c>
      <x:c r="H187" s="4" t="str">
        <x:v>Juego de bloques de construcción Abrick</x:v>
      </x:c>
      <x:c r="I187" s="4" t="str">
        <x:v>related_type</x:v>
      </x:c>
      <x:c r="J187" s="4" t="str">
        <x:v>明确拼搭模型，不是真实船舶；Action拼搭积木仅相关，未证明同连接系统</x:v>
      </x:c>
      <x:c r="K187" s="4" t="str">
        <x:v>零件结构和兼容未知</x:v>
      </x:c>
      <x:c r="L187" s="4" t="str">
        <x:v>https://www.amazon.es/DUANT-Victory-construcci%C3%B3n-vacaciones-coleccionable/dp/B0GGYGBP3S?psc=1</x:v>
      </x:c>
      <x:c r="M187" s="4" t="str">
        <x:v>B0_84bacc4c6b66_005699</x:v>
      </x:c>
      <x:c r="N187" s="4" t="str">
        <x:v>056f8d3a839e517c9821005a0745ceea2edf654d131ab6abaf5fd5723ace62b2</x:v>
      </x:c>
      <x:c r="O187" s="8"/>
      <x:c r="P187" s="8"/>
      <x:c r="Q187" s="8"/>
      <x:c r="R187" s="8"/>
    </x:row>
    <x:row r="188" ht="90" customHeight="1">
      <x:c r="A188" s="4" t="str">
        <x:v>P184</x:v>
      </x:c>
      <x:c r="B188" s="4" t="str">
        <x:v>XIMAND Ventilador portátil con clip para sombrilla, ultraligero de 0,28 lb, velocidad continua, mini ventilador recargable, manos libres para playa, aire libre, viajes, color beige</x:v>
      </x:c>
      <x:c r="C188" s="4" t="str">
        <x:v>夹式迷你风扇</x:v>
      </x:c>
      <x:c r="D188" s="4" t="str">
        <x:v>个人送风</x:v>
      </x:c>
      <x:c r="E188" s="4" t="str">
        <x:v>观察</x:v>
      </x:c>
      <x:c r="F188" s="4" t="str">
        <x:v>经营边界未确认</x:v>
      </x:c>
      <x:c r="G188" s="4" t="str">
        <x:v>3222719</x:v>
      </x:c>
      <x:c r="H188" s="4" t="str">
        <x:v>Ventilador de mano</x:v>
      </x:c>
      <x:c r="I188" s="4" t="str">
        <x:v>related_type</x:v>
      </x:c>
      <x:c r="J188" s="4" t="str">
        <x:v>迷你电风扇而非遮阳伞；手持风扇为相关主体，形态不同</x:v>
      </x:c>
      <x:c r="K188" s="4" t="str">
        <x:v>夹具、续航与风量未知</x:v>
      </x:c>
      <x:c r="L188" s="4" t="str">
        <x:v>https://www.amazon.es/XIMAND-Ventilador-ultraligero-ventilador-recargable/dp/B0H73Q4ZV9?psc=1</x:v>
      </x:c>
      <x:c r="M188" s="4" t="str">
        <x:v>B0_84bacc4c6b66_022292</x:v>
      </x:c>
      <x:c r="N188" s="4" t="str">
        <x:v>db33709a3926c1bcf2964841f74654f9a71bbee1a16b4a750cfb865e325063ed</x:v>
      </x:c>
      <x:c r="O188" s="8"/>
      <x:c r="P188" s="8"/>
      <x:c r="Q188" s="8"/>
      <x:c r="R188" s="8"/>
    </x:row>
    <x:row r="189" ht="90" customHeight="1">
      <x:c r="A189" s="4" t="str">
        <x:v>P185</x:v>
      </x:c>
      <x:c r="B189" s="4" t="str">
        <x:v>Cortacésped con batería, cortacésped Manual, Batería no incluida | 23 cm de ancho de corte, ajuste de altura de corte 3 veces 20-50 mm, mango plegable para superficies de césped de hasta 50 m²</x:v>
      </x:c>
      <x:c r="C189" s="4" t="str">
        <x:v>电池式割草机</x:v>
      </x:c>
      <x:c r="D189" s="4" t="str">
        <x:v>修剪草坪</x:v>
      </x:c>
      <x:c r="E189" s="4" t="str">
        <x:v>观察</x:v>
      </x:c>
      <x:c r="F189" s="4" t="str">
        <x:v>经营边界未确认</x:v>
      </x:c>
      <x:c r="G189" s="4" t="str"/>
      <x:c r="H189" s="4" t="str"/>
      <x:c r="I189" s="4" t="str">
        <x:v>none</x:v>
      </x:c>
      <x:c r="J189" s="4" t="str">
        <x:v>割草主机与切幅明确，Manual可能指操控方式，保留冲突而不改成手动剪刀</x:v>
      </x:c>
      <x:c r="K189" s="4" t="str">
        <x:v>驱动方式、供货电池与适配未知</x:v>
      </x:c>
      <x:c r="L189" s="4" t="str">
        <x:v>https://www.amazon.es/Cortac%C3%A9sped-cortac%C3%A9sped-incluida-plegable-superficies/dp/B0GX6MJ42K?psc=1</x:v>
      </x:c>
      <x:c r="M189" s="4" t="str">
        <x:v>B0_84bacc4c6b66_005106</x:v>
      </x:c>
      <x:c r="N189" s="4" t="str">
        <x:v>a4afdcf0f05c9ca623c3fe49a529a25aec3674c54198fdf05aee88488062c292</x:v>
      </x:c>
      <x:c r="O189" s="8"/>
      <x:c r="P189" s="8"/>
      <x:c r="Q189" s="8"/>
      <x:c r="R189" s="8"/>
    </x:row>
    <x:row r="190" ht="90" customHeight="1">
      <x:c r="A190" s="4" t="str">
        <x:v>P186</x:v>
      </x:c>
      <x:c r="B190" s="4" t="str">
        <x:v>Bonsenkitchen Espumador de Leche Eléctrico, Batidor de Acero Inoxidable</x:v>
      </x:c>
      <x:c r="C190" s="4" t="str">
        <x:v>电动奶泡器</x:v>
      </x:c>
      <x:c r="D190" s="4" t="str">
        <x:v>搅打奶泡</x:v>
      </x:c>
      <x:c r="E190" s="4" t="str">
        <x:v>观察</x:v>
      </x:c>
      <x:c r="F190" s="4" t="str">
        <x:v>经营边界未确认</x:v>
      </x:c>
      <x:c r="G190" s="4" t="str">
        <x:v>3011080</x:v>
      </x:c>
      <x:c r="H190" s="4" t="str">
        <x:v>Espumador de leche DAY</x:v>
      </x:c>
      <x:c r="I190" s="4" t="str">
        <x:v>same_type</x:v>
      </x:c>
      <x:c r="J190" s="4" t="str">
        <x:v>奶泡器明确，与Action同类，Batidor不推出大型搅拌机</x:v>
      </x:c>
      <x:c r="K190" s="4" t="str">
        <x:v>电源及性能未知</x:v>
      </x:c>
      <x:c r="L190" s="4" t="str">
        <x:v>https://www.amazon.es/Bonsenkitchen-Espumador-el%C3%A9ctrico-Inoxidable-Cappuccino/dp/B076F3C4XP/ref=sr_1_42?dib=eyJ2IjoiMSJ9.ZYxCoFXQnDh_Ut0y9TXYfFVkFVxr-jGal1yrFc0GcZ_077Y29PoBPiNjqlCCjRoJ3xMEuv63BGsEHHtkAXoggfKBh9QFj-TQdHUTA0CDnDVandJKqh9F3-7M1QGuBHsfeCOwQZXxJ_FhO980pM_7FreIz_hENFdFSx2h1r6epB-zliglhjEtcBgPqA6GpsILKEfHPd_36e_pl30fy4ewGy1shZ9ejGgP6jYsKy5HwssjKddD2Y3aCLTChyHvSYQzjKO1IV8xET0_n6dIj3iC4KEYxHWhCV4TC_RNFtNsuVE.9pUJ4-qdDYHbSPWNUWwWv1TN3-CGQleBp-wrUUsGhTc&amp;dib_tag=se&amp;qid=1792648981&amp;s=kitchen&amp;sr=1-42&amp;srs=88626813031&amp;xpid=qpnO31ULD-dQ4</x:v>
      </x:c>
      <x:c r="M190" s="4" t="str">
        <x:v>B0_84bacc4c6b66_003143</x:v>
      </x:c>
      <x:c r="N190" s="4" t="str">
        <x:v>c4cb4de5b31b85a2c251cbbb723b5c379e544b10bb66c979a2442e87f7e045fc</x:v>
      </x:c>
      <x:c r="O190" s="8"/>
      <x:c r="P190" s="8"/>
      <x:c r="Q190" s="8"/>
      <x:c r="R190" s="8"/>
    </x:row>
    <x:row r="191" ht="90" customHeight="1">
      <x:c r="A191" s="4" t="str">
        <x:v>P187</x:v>
      </x:c>
      <x:c r="B191" s="4" t="str">
        <x:v>DUMGAR 2 Piezas Césped Falso Material Base 3mm Grass Kit Polvo Cachemira Musgo Polvo de Césped Artificial de Hierba Simulación para Paisaje en Miniatura (30 g/Bolsa)</x:v>
      </x:c>
      <x:c r="C191" s="4" t="str">
        <x:v>微景观仿真草粉</x:v>
      </x:c>
      <x:c r="D191" s="4" t="str">
        <x:v>制作模型草地</x:v>
      </x:c>
      <x:c r="E191" s="4" t="str">
        <x:v>保留</x:v>
      </x:c>
      <x:c r="F191" s="4" t="str"/>
      <x:c r="G191" s="4" t="str">
        <x:v>3008176</x:v>
      </x:c>
      <x:c r="H191" s="4" t="str">
        <x:v>Musgo decorativo Home Accents</x:v>
      </x:c>
      <x:c r="I191" s="4" t="str">
        <x:v>related_type</x:v>
      </x:c>
      <x:c r="J191" s="4" t="str">
        <x:v>粉状模型铺景材料不是整片草坪；装饰苔藓仅相关铺景需求</x:v>
      </x:c>
      <x:c r="K191" s="4" t="str">
        <x:v>粉料成分及适龄未知</x:v>
      </x:c>
      <x:c r="L191" s="4" t="str">
        <x:v>https://www.amazon.es/DUMGAR-Cachemira-Artificial-Simulaci%C3%B3n-Miniatura/dp/B0HB9DKHJ2?psc=1</x:v>
      </x:c>
      <x:c r="M191" s="4" t="str">
        <x:v>B0_84bacc4c6b66_005704</x:v>
      </x:c>
      <x:c r="N191" s="4" t="str">
        <x:v>148b8aae19eec7ce30e179f16c3094373e5fe7579671ab35485fe9f580b740ce</x:v>
      </x:c>
      <x:c r="O191" s="8"/>
      <x:c r="P191" s="8"/>
      <x:c r="Q191" s="8"/>
      <x:c r="R191" s="8"/>
    </x:row>
    <x:row r="192" ht="90" customHeight="1">
      <x:c r="A192" s="4" t="str">
        <x:v>P188</x:v>
      </x:c>
      <x:c r="B192" s="4" t="str">
        <x:v>G2PLUS 100m Cuerda de Yute Natural,1.5mm Hilo Yute,Cuerda de Jardinería | Cordel Fina Deco para Envolver Regalos,Bricolaje,Navidad,Repostería y Manualidades</x:v>
      </x:c>
      <x:c r="C192" s="4" t="str">
        <x:v>黄麻细绳</x:v>
      </x:c>
      <x:c r="D192" s="4" t="str">
        <x:v>园艺绑扎和手工包装</x:v>
      </x:c>
      <x:c r="E192" s="4" t="str">
        <x:v>保留</x:v>
      </x:c>
      <x:c r="F192" s="4" t="str"/>
      <x:c r="G192" s="4" t="str">
        <x:v>2560873</x:v>
      </x:c>
      <x:c r="H192" s="4" t="str">
        <x:v>Cordel de yute</x:v>
      </x:c>
      <x:c r="I192" s="4" t="str">
        <x:v>same_type</x:v>
      </x:c>
      <x:c r="J192" s="4" t="str">
        <x:v>绳材主体明确，烘焙场景不证明食品直接接触安全</x:v>
      </x:c>
      <x:c r="K192" s="4" t="str">
        <x:v>直径及材料安全未知</x:v>
      </x:c>
      <x:c r="L192" s="4" t="str">
        <x:v>https://www.amazon.es/G2PLUS-100m-Cuerda-Yute-Natural/dp/B0FYPYPDGR?psc=1</x:v>
      </x:c>
      <x:c r="M192" s="4" t="str">
        <x:v>B0_84bacc4c6b66_008120</x:v>
      </x:c>
      <x:c r="N192" s="4" t="str">
        <x:v>ed735f89ef5b5d567b931a51fb8c6da34dad8fca1ee6d4ed6c572d49f5614a85</x:v>
      </x:c>
      <x:c r="O192" s="8"/>
      <x:c r="P192" s="8"/>
      <x:c r="Q192" s="8"/>
      <x:c r="R192" s="8"/>
    </x:row>
    <x:row r="193" ht="90" customHeight="1">
      <x:c r="A193" s="4" t="str">
        <x:v>P189</x:v>
      </x:c>
      <x:c r="B193" s="4" t="str">
        <x:v>Sello de Ropa para Niños Personalizado | Marcador de Nombre para Textil Infantil y Bebé | Uniformes y Objetos de Colegio y Guardería | Tinta Textil Resistente al Lavado</x:v>
      </x:c>
      <x:c r="C193" s="4" t="str">
        <x:v>定制衣物姓名印章</x:v>
      </x:c>
      <x:c r="D193" s="4" t="str">
        <x:v>标识衣物归属</x:v>
      </x:c>
      <x:c r="E193" s="4" t="str">
        <x:v>保留</x:v>
      </x:c>
      <x:c r="F193" s="4" t="str"/>
      <x:c r="G193" s="4" t="str">
        <x:v>3006894</x:v>
      </x:c>
      <x:c r="H193" s="4" t="str">
        <x:v>Sello de madera</x:v>
      </x:c>
      <x:c r="I193" s="4" t="str">
        <x:v>related_type</x:v>
      </x:c>
      <x:c r="J193" s="4" t="str">
        <x:v>姓名印章是标记工具，Action印章结构相关但未证明纺织墨水适用</x:v>
      </x:c>
      <x:c r="K193" s="4" t="str">
        <x:v>洗涤耐久和墨水安全未知</x:v>
      </x:c>
      <x:c r="L193" s="4" t="str">
        <x:v>https://www.amazon.es/Stamp-Me-Personalizados-Permanente-Resistente/dp/B07NPQGZ3Q?psc=1</x:v>
      </x:c>
      <x:c r="M193" s="4" t="str">
        <x:v>B0_84bacc4c6b66_019022</x:v>
      </x:c>
      <x:c r="N193" s="4" t="str">
        <x:v>0dcadbd80bd7efe5e8882195938096a5a10c633160a985bc8971d0f5b95934d4</x:v>
      </x:c>
      <x:c r="O193" s="8"/>
      <x:c r="P193" s="8"/>
      <x:c r="Q193" s="8"/>
      <x:c r="R193" s="8"/>
    </x:row>
    <x:row r="194" ht="90" customHeight="1">
      <x:c r="A194" s="4" t="str">
        <x:v>P190</x:v>
      </x:c>
      <x:c r="B194" s="4" t="str">
        <x:v>Hario V60 - Server de café y té, 600 ml</x:v>
      </x:c>
      <x:c r="C194" s="4" t="str">
        <x:v>咖啡茶分饮壶</x:v>
      </x:c>
      <x:c r="D194" s="4" t="str">
        <x:v>盛装和倒取饮品</x:v>
      </x:c>
      <x:c r="E194" s="4" t="str">
        <x:v>保留</x:v>
      </x:c>
      <x:c r="F194" s="4" t="str"/>
      <x:c r="G194" s="4" t="str">
        <x:v>3211651</x:v>
      </x:c>
      <x:c r="H194" s="4" t="str">
        <x:v>Jarra</x:v>
      </x:c>
      <x:c r="I194" s="4" t="str">
        <x:v>related_type</x:v>
      </x:c>
      <x:c r="J194" s="4" t="str">
        <x:v>Server在咖啡茶容量语境指分饮容器，不是咖啡机；Action壶具相关</x:v>
      </x:c>
      <x:c r="K194" s="4" t="str">
        <x:v>材料及耐热未知</x:v>
      </x:c>
      <x:c r="L194" s="4" t="str">
        <x:v>https://www.amazon.es/Hario-V60-Server-caf%C3%A9-600/dp/B000P4931S?psc=1</x:v>
      </x:c>
      <x:c r="M194" s="4" t="str">
        <x:v>B0_84bacc4c6b66_009511</x:v>
      </x:c>
      <x:c r="N194" s="4" t="str">
        <x:v>1f16981e4c87a68e434b917b2ca3ee2f3103437ea333102517b006908de2f208</x:v>
      </x:c>
      <x:c r="O194" s="8"/>
      <x:c r="P194" s="8"/>
      <x:c r="Q194" s="8"/>
      <x:c r="R194" s="8"/>
    </x:row>
    <x:row r="195" ht="90" customHeight="1">
      <x:c r="A195" s="4" t="str">
        <x:v>P191</x:v>
      </x:c>
      <x:c r="B195" s="4" t="str">
        <x:v>MIDEA Climatizador Evaporativo 3 en 1 con Mando a Distancia - Ventilador de Agua, Enfriador de Aire, Humidificador de 3 Velocidades, Oscilación 85º - Climatizador Frio Silencioso con Tanque de Agua 5L</x:v>
      </x:c>
      <x:c r="C195" s="4" t="str">
        <x:v>蒸发式冷风加湿机</x:v>
      </x:c>
      <x:c r="D195" s="4" t="str">
        <x:v>送风及蒸发降温</x:v>
      </x:c>
      <x:c r="E195" s="4" t="str">
        <x:v>观察</x:v>
      </x:c>
      <x:c r="F195" s="4" t="str">
        <x:v>经营边界未确认</x:v>
      </x:c>
      <x:c r="G195" s="4" t="str">
        <x:v>3215453</x:v>
      </x:c>
      <x:c r="H195" s="4" t="str">
        <x:v>Enfriador de aire Nedis</x:v>
      </x:c>
      <x:c r="I195" s="4" t="str">
        <x:v>related_type</x:v>
      </x:c>
      <x:c r="J195" s="4" t="str">
        <x:v>水冷风机主体明确，喷壶不是同类，不把冷风机当分体空调</x:v>
      </x:c>
      <x:c r="K195" s="4" t="str">
        <x:v>制冷效果及耗水未知</x:v>
      </x:c>
      <x:c r="L195" s="4" t="str">
        <x:v>https://www.amazon.es/MIDEA-Climatizador-Evaporativo-Control-Remoto/dp/B0F2DX2QRD?psc=1</x:v>
      </x:c>
      <x:c r="M195" s="4" t="str">
        <x:v>B0_84bacc4c6b66_012781</x:v>
      </x:c>
      <x:c r="N195" s="4" t="str">
        <x:v>cd9483ebbf4d997a8ec55edfc809459401144bd49034c1b17a5d063297e1f697</x:v>
      </x:c>
      <x:c r="O195" s="8"/>
      <x:c r="P195" s="8"/>
      <x:c r="Q195" s="8"/>
      <x:c r="R195" s="8"/>
    </x:row>
    <x:row r="196" ht="90" customHeight="1">
      <x:c r="A196" s="4" t="str">
        <x:v>P192</x:v>
      </x:c>
      <x:c r="B196" s="4" t="str">
        <x:v>8 x 2,5 litros Garrafa Bioetanol Premium para chimeneas | Etanol Origen Vegetal</x:v>
      </x:c>
      <x:c r="C196" s="4" t="str">
        <x:v>壁炉用生物乙醇燃料</x:v>
      </x:c>
      <x:c r="D196" s="4" t="str">
        <x:v>为兼容壁炉提供燃料</x:v>
      </x:c>
      <x:c r="E196" s="4" t="str">
        <x:v>观察</x:v>
      </x:c>
      <x:c r="F196" s="4" t="str">
        <x:v>经营边界未确认</x:v>
      </x:c>
      <x:c r="G196" s="4" t="str"/>
      <x:c r="H196" s="4" t="str"/>
      <x:c r="I196" s="4" t="str">
        <x:v>none</x:v>
      </x:c>
      <x:c r="J196" s="4" t="str">
        <x:v>销售燃料而非壁炉或容器本身，天然来源不证明安全</x:v>
      </x:c>
      <x:c r="K196" s="4" t="str">
        <x:v>燃料纯度、设备兼容和经营边界未知</x:v>
      </x:c>
      <x:c r="L196" s="4" t="str">
        <x:v>https://www.amazon.es/Garrafa-Bioetanol-Premium-chimeneas-Vegetal/dp/B0CLM15D2V?psc=1</x:v>
      </x:c>
      <x:c r="M196" s="4" t="str">
        <x:v>B0_84bacc4c6b66_008419</x:v>
      </x:c>
      <x:c r="N196" s="4" t="str">
        <x:v>5c6398754ca73c8b2140b4d0219336c6af70189a692276413fc26f386ac6197d</x:v>
      </x:c>
      <x:c r="O196" s="8"/>
      <x:c r="P196" s="8"/>
      <x:c r="Q196" s="8"/>
      <x:c r="R196" s="8"/>
    </x:row>
    <x:row r="197" ht="90" customHeight="1">
      <x:c r="A197" s="4" t="str">
        <x:v>P193</x:v>
      </x:c>
      <x:c r="B197" s="4" t="str">
        <x:v>RedStar24 Enchufe Schuko 230V IP54 Set de 4 Conectores de protección robustos de goma y plástico, negro rojo | Diseño herméticamente sellado | Perfecto para exteriores | Conector eléctrico de 3 polos</x:v>
      </x:c>
      <x:c r="C197" s="4" t="str">
        <x:v>Schuko电源插头连接器</x:v>
      </x:c>
      <x:c r="D197" s="4" t="str">
        <x:v>连接电源线路</x:v>
      </x:c>
      <x:c r="E197" s="4" t="str">
        <x:v>观察</x:v>
      </x:c>
      <x:c r="F197" s="4" t="str">
        <x:v>专用或安装配件</x:v>
      </x:c>
      <x:c r="G197" s="4" t="str"/>
      <x:c r="H197" s="4" t="str"/>
      <x:c r="I197" s="4" t="str">
        <x:v>none</x:v>
      </x:c>
      <x:c r="J197" s="4" t="str">
        <x:v>明确装配式电连接器，不是橡皮擦或智能插座成品</x:v>
      </x:c>
      <x:c r="K197" s="4" t="str">
        <x:v>接线和防护等级未验证</x:v>
      </x:c>
      <x:c r="L197" s="4" t="str">
        <x:v>https://www.amazon.es/RedStar24-Conectores-protecci%C3%B3n-herm%C3%A9ticamente-exteriores/dp/B0CKK2LS4Y?psc=1</x:v>
      </x:c>
      <x:c r="M197" s="4" t="str">
        <x:v>B0_84bacc4c6b66_016997</x:v>
      </x:c>
      <x:c r="N197" s="4" t="str">
        <x:v>f260c0e84b9ffb4bf6f63c0a36d34e65ed4e235ea1fc7af550e4851632ba6de4</x:v>
      </x:c>
      <x:c r="O197" s="8"/>
      <x:c r="P197" s="8"/>
      <x:c r="Q197" s="8"/>
      <x:c r="R197" s="8"/>
    </x:row>
    <x:row r="198" ht="90" customHeight="1">
      <x:c r="A198" s="4" t="str">
        <x:v>P194</x:v>
      </x:c>
      <x:c r="B198" s="4" t="str">
        <x:v>Juego de cubiertos Pradel Essentiel Vibrato 16 Acero inoxidable para 4 personas, madera</x:v>
      </x:c>
      <x:c r="C198" s="4" t="str">
        <x:v>餐具套装</x:v>
      </x:c>
      <x:c r="D198" s="4" t="str">
        <x:v>多人用餐</x:v>
      </x:c>
      <x:c r="E198" s="4" t="str">
        <x:v>保留</x:v>
      </x:c>
      <x:c r="F198" s="4" t="str"/>
      <x:c r="G198" s="4" t="str">
        <x:v>3014877</x:v>
      </x:c>
      <x:c r="H198" s="4" t="str">
        <x:v>Cubiertos</x:v>
      </x:c>
      <x:c r="I198" s="4" t="str">
        <x:v>related_type</x:v>
      </x:c>
      <x:c r="J198" s="4" t="str">
        <x:v>餐具套装主体清楚，钢与木材分配未说明；Action餐具相关</x:v>
      </x:c>
      <x:c r="K198" s="4" t="str">
        <x:v>材料分配和具体清单未知</x:v>
      </x:c>
      <x:c r="L198" s="4" t="str">
        <x:v>https://www.amazon.es/cubiertos-Pradel-Essentiel-inoxidable-personas/dp/B0HDPXR38S?psc=1</x:v>
      </x:c>
      <x:c r="M198" s="4" t="str">
        <x:v>B0_84bacc4c6b66_023589</x:v>
      </x:c>
      <x:c r="N198" s="4" t="str">
        <x:v>f301a8779e4257a31a6ddae355d14c9c9c047673ec2e4f47c16e4af6096b16f8</x:v>
      </x:c>
      <x:c r="O198" s="8"/>
      <x:c r="P198" s="8"/>
      <x:c r="Q198" s="8"/>
      <x:c r="R198" s="8"/>
    </x:row>
    <x:row r="199" ht="90" customHeight="1">
      <x:c r="A199" s="4" t="str">
        <x:v>P195</x:v>
      </x:c>
      <x:c r="B199" s="4" t="str">
        <x:v>Yospinber Cafetera Espresso Eléctrica Portátil 3 en 1, Cafetera de Viaje para Camping, Cafetera de Coche Autocalentable con USB-C, 20BAR Presión, para Cápsulas Pequeñas o Grandes y Café Molido</x:v>
      </x:c>
      <x:c r="C199" s="4" t="str">
        <x:v>便携电动浓缩咖啡机</x:v>
      </x:c>
      <x:c r="D199" s="4" t="str">
        <x:v>旅行制作咖啡</x:v>
      </x:c>
      <x:c r="E199" s="4" t="str">
        <x:v>观察</x:v>
      </x:c>
      <x:c r="F199" s="4" t="str">
        <x:v>经营边界未确认</x:v>
      </x:c>
      <x:c r="G199" s="4" t="str">
        <x:v>3214353</x:v>
      </x:c>
      <x:c r="H199" s="4" t="str">
        <x:v>Cafetera espresso</x:v>
      </x:c>
      <x:c r="I199" s="4" t="str">
        <x:v>same_type</x:v>
      </x:c>
      <x:c r="J199" s="4" t="str">
        <x:v>浓缩咖啡机主体有Action同类，不补胶囊品牌标准</x:v>
      </x:c>
      <x:c r="K199" s="4" t="str">
        <x:v>压力、续航与胶囊适配未知</x:v>
      </x:c>
      <x:c r="L199" s="4" t="str">
        <x:v>https://www.amazon.es/Yospinber-Cafetera-Espresso-El%C3%A9ctrica-Autocalentable/dp/B0H9RV29TH?psc=1</x:v>
      </x:c>
      <x:c r="M199" s="4" t="str">
        <x:v>B0_84bacc4c6b66_022723</x:v>
      </x:c>
      <x:c r="N199" s="4" t="str">
        <x:v>997485e73da484f0cca5a7a50814a6d12f5419d0347e5097c8f908cf1ed50754</x:v>
      </x:c>
      <x:c r="O199" s="8"/>
      <x:c r="P199" s="8"/>
      <x:c r="Q199" s="8"/>
      <x:c r="R199" s="8"/>
    </x:row>
    <x:row r="200" ht="90" customHeight="1">
      <x:c r="A200" s="4" t="str">
        <x:v>P196</x:v>
      </x:c>
      <x:c r="B200" s="4" t="str">
        <x:v>Bodum Kenya - Cafetera, 4 tazas, 0,5 l, color negro</x:v>
      </x:c>
      <x:c r="C200" s="4" t="str">
        <x:v>咖啡制作器具</x:v>
      </x:c>
      <x:c r="D200" s="4" t="str">
        <x:v>制作咖啡</x:v>
      </x:c>
      <x:c r="E200" s="4" t="str">
        <x:v>观察</x:v>
      </x:c>
      <x:c r="F200" s="4" t="str">
        <x:v>供货或形态信息不足</x:v>
      </x:c>
      <x:c r="G200" s="4" t="str">
        <x:v>3201736</x:v>
      </x:c>
      <x:c r="H200" s="4" t="str">
        <x:v>Cafetera Tomado Superior</x:v>
      </x:c>
      <x:c r="I200" s="4" t="str">
        <x:v>related_type</x:v>
      </x:c>
      <x:c r="J200" s="4" t="str">
        <x:v>仅品名咖啡器具和容量，不能根据Bodum型号知识补法压、手动或电动结构</x:v>
      </x:c>
      <x:c r="K200" s="4" t="str">
        <x:v>供电及冲煮结构未知</x:v>
      </x:c>
      <x:c r="L200" s="4" t="str">
        <x:v>https://www.amazon.es/Bodum-Cafetera-%C3%A9mbolo-litros-Vidrio/dp/B0000A8VUO?psc=1</x:v>
      </x:c>
      <x:c r="M200" s="4" t="str">
        <x:v>B0_84bacc4c6b66_003008</x:v>
      </x:c>
      <x:c r="N200" s="4" t="str">
        <x:v>810101c03fc2132b3c76e3affe7a5943c71f7e39ccb4f2d887909aa784957de3</x:v>
      </x:c>
      <x:c r="O200" s="8"/>
      <x:c r="P200" s="8"/>
      <x:c r="Q200" s="8"/>
      <x:c r="R200" s="8"/>
    </x:row>
    <x:row r="201" ht="90" customHeight="1">
      <x:c r="A201" s="4" t="str">
        <x:v>P197</x:v>
      </x:c>
      <x:c r="B201" s="4" t="str">
        <x:v>Russell Hobbs CookHome 19750-56 - Vaporera y Arrocera, Inox, Capacidad de 1.8 L, Tapa de Vidrio, 700 W, Gris</x:v>
      </x:c>
      <x:c r="C201" s="4" t="str">
        <x:v>电蒸煮饭锅</x:v>
      </x:c>
      <x:c r="D201" s="4" t="str">
        <x:v>蒸制食物及煮饭</x:v>
      </x:c>
      <x:c r="E201" s="4" t="str">
        <x:v>观察</x:v>
      </x:c>
      <x:c r="F201" s="4" t="str">
        <x:v>经营边界未确认</x:v>
      </x:c>
      <x:c r="G201" s="4" t="str"/>
      <x:c r="H201" s="4" t="str"/>
      <x:c r="I201" s="4" t="str">
        <x:v>none</x:v>
      </x:c>
      <x:c r="J201" s="4" t="str">
        <x:v>功率及蒸煮功能明确是电器，不是玻璃盖平底锅</x:v>
      </x:c>
      <x:c r="K201" s="4" t="str">
        <x:v>温控、容量和安全未知</x:v>
      </x:c>
      <x:c r="L201" s="4" t="str">
        <x:v>https://www.amazon.es/Russell-Hobbs-19750-56-Cook-Home/dp/B00BEJ77WK/ref=sr_1_134?dib=eyJ2IjoiMSJ9.f99QrLFa9x-_Ig-BxHYjPRRJD3xz8DIaVLSrRy9TW07OFTg8jLD07MIBiYZnjStVDegEtF_Q24gRTdG3tFYBj9q8_-cEPVff6lTQoO761mhJa367y8AyJ5rbK8zDa1iadm_An46Qpa2LEbhnmepw3w965KGnThQvY4RWo12PXqcJkuOnFGQxla3hq4FFat3IVO0V_NLDzkR2ycm6dWiWbf_FIFu2KLO-8yRx0nuW8qJARk1FQl67DmZZ-zqx0W0XYCejfUhVIcgVh-DNVmPauH6C3vcjymz7jIVB0ZzaKAQ.ZPR06ha4Lteuv1bdW932A1A6HStZOjjl-wwp-_S18Mw&amp;dib_tag=se&amp;qid=1792596372&amp;s=kitchen&amp;sr=1-134&amp;srs=88626813031&amp;xpid=CeuYXw3Vdr0Bg</x:v>
      </x:c>
      <x:c r="M201" s="4" t="str">
        <x:v>B0_84bacc4c6b66_017532</x:v>
      </x:c>
      <x:c r="N201" s="4" t="str">
        <x:v>0324d786190bc74e284411958945b66b202c34e7b70430c28f9e9a807cf2ccf5</x:v>
      </x:c>
      <x:c r="O201" s="8"/>
      <x:c r="P201" s="8"/>
      <x:c r="Q201" s="8"/>
      <x:c r="R201" s="8"/>
    </x:row>
    <x:row r="202" ht="90" customHeight="1">
      <x:c r="A202" s="4" t="str">
        <x:v>P198</x:v>
      </x:c>
      <x:c r="B202" s="4" t="str">
        <x:v>INK LAB Pintura Acrílica 24 Colores 36ml para Lienzo Madera | 24x36ml, No tóxica, Colores vivos, Para lienzo, Para madera, Para artistas</x:v>
      </x:c>
      <x:c r="C202" s="4" t="str">
        <x:v>丙烯画颜料套装</x:v>
      </x:c>
      <x:c r="D202" s="4" t="str">
        <x:v>绘画创作</x:v>
      </x:c>
      <x:c r="E202" s="4" t="str">
        <x:v>保留</x:v>
      </x:c>
      <x:c r="F202" s="4" t="str"/>
      <x:c r="G202" s="4" t="str">
        <x:v>3204817</x:v>
      </x:c>
      <x:c r="H202" s="4" t="str">
        <x:v>Pintura acrílica</x:v>
      </x:c>
      <x:c r="I202" s="4" t="str">
        <x:v>same_type</x:v>
      </x:c>
      <x:c r="J202" s="4" t="str">
        <x:v>画颜料主体与Action同类，木材画布是创作基面</x:v>
      </x:c>
      <x:c r="K202" s="4" t="str">
        <x:v>无毒和色牢度未验证</x:v>
      </x:c>
      <x:c r="L202" s="4" t="str">
        <x:v>https://www.amazon.es/Acr%C3%ADlica-Acr%C3%ADlicos-Conjunto-Artistas-Manualidades/dp/B09NXJ9KS4?psc=1</x:v>
      </x:c>
      <x:c r="M202" s="4" t="str">
        <x:v>B0_84bacc4c6b66_000751</x:v>
      </x:c>
      <x:c r="N202" s="4" t="str">
        <x:v>566844af5d1b2e6897bf54917766b4087e9cd3c37526899d8255f0172e5951f7</x:v>
      </x:c>
      <x:c r="O202" s="8"/>
      <x:c r="P202" s="8"/>
      <x:c r="Q202" s="8"/>
      <x:c r="R202" s="8"/>
    </x:row>
    <x:row r="203" ht="90" customHeight="1">
      <x:c r="A203" s="4" t="str">
        <x:v>P199</x:v>
      </x:c>
      <x:c r="B203" s="4" t="str">
        <x:v>Depósito de agua y caja de polvo 2 en 1 de repuesto para Cecotec para Conga 999, para Kabum Smart 100, Teendow BR151, para ONSON BR150, BR160, Manvins G20 Robot Partes de aspirador con eficiente</x:v>
      </x:c>
      <x:c r="C203" s="4" t="str">
        <x:v>扫地机水箱集尘盒替换组件</x:v>
      </x:c>
      <x:c r="D203" s="4" t="str">
        <x:v>替换机器收水及集尘组件</x:v>
      </x:c>
      <x:c r="E203" s="4" t="str">
        <x:v>观察</x:v>
      </x:c>
      <x:c r="F203" s="4" t="str">
        <x:v>专用或安装配件</x:v>
      </x:c>
      <x:c r="G203" s="4" t="str"/>
      <x:c r="H203" s="4" t="str"/>
      <x:c r="I203" s="4" t="str">
        <x:v>none</x:v>
      </x:c>
      <x:c r="J203" s="4" t="str">
        <x:v>明确为指定机器人零件，不是完整吸尘器或露营水桶</x:v>
      </x:c>
      <x:c r="K203" s="4" t="str">
        <x:v>机型、接口与容量未知</x:v>
      </x:c>
      <x:c r="L203" s="4" t="str">
        <x:v>https://www.amazon.es/Dep%C3%B3sito-repuesto-Cecotec-aspirador-eficiente/dp/B0HHS6P5B8?psc=1</x:v>
      </x:c>
      <x:c r="M203" s="4" t="str">
        <x:v>B0_84bacc4c6b66_005983</x:v>
      </x:c>
      <x:c r="N203" s="4" t="str">
        <x:v>4bd8cf0d943d228b0495ce59bac1e7aa8079c2fbc3d7a3c9930658b3e1d22e0e</x:v>
      </x:c>
      <x:c r="O203" s="8"/>
      <x:c r="P203" s="8"/>
      <x:c r="Q203" s="8"/>
      <x:c r="R203" s="8"/>
    </x:row>
    <x:row r="204" ht="90" customHeight="1">
      <x:c r="A204" s="4" t="str">
        <x:v>P200</x:v>
      </x:c>
      <x:c r="B204" s="4" t="str">
        <x:v>ENUTROF Linóleo para Grabado Linoleo Kit Plancha Placa de A3 A4 A5 A6 Tinta | Placas de Goma 10Pcs con Rodillo Brayer Gubias para Tallado DIY Impresión en Relieve y Sellos Estampación de Gráficos</x:v>
      </x:c>
      <x:c r="C204" s="4" t="str">
        <x:v>版画刻印材料工具套装</x:v>
      </x:c>
      <x:c r="D204" s="4" t="str">
        <x:v>雕刻并印制图案</x:v>
      </x:c>
      <x:c r="E204" s="4" t="str">
        <x:v>观察</x:v>
      </x:c>
      <x:c r="F204" s="4" t="str">
        <x:v>缺少有效Action参照</x:v>
      </x:c>
      <x:c r="G204" s="4" t="str"/>
      <x:c r="H204" s="4" t="str"/>
      <x:c r="I204" s="4" t="str">
        <x:v>none</x:v>
      </x:c>
      <x:c r="J204" s="4" t="str">
        <x:v>橡胶印版、滚轮和刻刀是版画材料工具，不是地面铺装或擦字橡皮</x:v>
      </x:c>
      <x:c r="K204" s="4" t="str">
        <x:v>组件清单和适龄未知</x:v>
      </x:c>
      <x:c r="L204" s="4" t="str">
        <x:v>https://www.amazon.es/Lin%C3%B3leo-Grabado-Impresi%C3%B3n-Estampaci%C3%B3n-Gr%C3%A1ficos/dp/B0DYP6WZ5V?psc=1</x:v>
      </x:c>
      <x:c r="M204" s="4" t="str">
        <x:v>B0_84bacc4c6b66_012345</x:v>
      </x:c>
      <x:c r="N204" s="4" t="str">
        <x:v>a361437feacf4a1db73991d8e1ccdbeed245449f2baddaa476c6c3b7f5f8e243</x:v>
      </x:c>
      <x:c r="O204" s="8"/>
      <x:c r="P204" s="8"/>
      <x:c r="Q204" s="8"/>
      <x:c r="R204" s="8"/>
    </x:row>
    <x:row r="205" ht="90" customHeight="1">
      <x:c r="A205" s="4" t="str">
        <x:v>P201</x:v>
      </x:c>
      <x:c r="B205" s="4" t="str">
        <x:v>PureCozy Alfombras de salón de 160 x 230 cm, lavables, suaves, vintage | Alfombra antideslizante, suave de pelo bajo, dormitorio, comedor, pasillo, sala de estar, oficina, decoración de Roma</x:v>
      </x:c>
      <x:c r="C205" s="4" t="str">
        <x:v>客厅低绒地毯</x:v>
      </x:c>
      <x:c r="D205" s="4" t="str">
        <x:v>铺设和装饰室内地面</x:v>
      </x:c>
      <x:c r="E205" s="4" t="str">
        <x:v>保留</x:v>
      </x:c>
      <x:c r="F205" s="4" t="str"/>
      <x:c r="G205" s="4" t="str">
        <x:v>2513667</x:v>
      </x:c>
      <x:c r="H205" s="4" t="str">
        <x:v>Alfombra antideslizante</x:v>
      </x:c>
      <x:c r="I205" s="4" t="str">
        <x:v>same_type</x:v>
      </x:c>
      <x:c r="J205" s="4" t="str">
        <x:v>原文明确客厅地毯，参照为防滑地毯；大尺寸不自动变成家具整套</x:v>
      </x:c>
      <x:c r="K205" s="4" t="str">
        <x:v>防滑、可洗性能未核实</x:v>
      </x:c>
      <x:c r="L205" s="4" t="str">
        <x:v>https://www.amazon.es/PureCozy-Alfombras-antideslizante-dormitorio-decoraci%C3%B3n/dp/B0H6LQPKRZ?psc=1</x:v>
      </x:c>
      <x:c r="M205" s="4" t="str">
        <x:v>B0_84bacc4c6b66_016388</x:v>
      </x:c>
      <x:c r="N205" s="4" t="str">
        <x:v>8d2237439cb8f75e8e38799b98fb9966773267f7069c5d38fa93c0ce53c4176b</x:v>
      </x:c>
      <x:c r="O205" s="8"/>
      <x:c r="P205" s="8"/>
      <x:c r="Q205" s="8"/>
      <x:c r="R205" s="8"/>
    </x:row>
    <x:row r="206" ht="90" customHeight="1">
      <x:c r="A206" s="4" t="str">
        <x:v>P202</x:v>
      </x:c>
      <x:c r="B206" s="4" t="str">
        <x:v>Miniland Termo Bebé para Comidas 280ml, +12h Frío y Calor | Crabsy | Contenedor de Acero Inoxidable y Aislamiento de Doble Pared, Cierre Hermético para Papillas, Pure y Comidas Fuera de Casa</x:v>
      </x:c>
      <x:c r="C206" s="4" t="str">
        <x:v>婴儿辅食保温容器</x:v>
      </x:c>
      <x:c r="D206" s="4" t="str">
        <x:v>携带辅食并保持温度</x:v>
      </x:c>
      <x:c r="E206" s="4" t="str">
        <x:v>保留</x:v>
      </x:c>
      <x:c r="F206" s="4" t="str"/>
      <x:c r="G206" s="4" t="str">
        <x:v>3207057</x:v>
      </x:c>
      <x:c r="H206" s="4" t="str">
        <x:v>Termo</x:v>
      </x:c>
      <x:c r="I206" s="4" t="str">
        <x:v>related_type</x:v>
      </x:c>
      <x:c r="J206" s="4" t="str">
        <x:v>参照保温容器支持携带保温用途，但食品宽口与饮水形式不同，不能由钢材关联到首饰</x:v>
      </x:c>
      <x:c r="K206" s="4" t="str">
        <x:v>保温时长和婴儿食品接触适用性未核实</x:v>
      </x:c>
      <x:c r="L206" s="4" t="str">
        <x:v>https://www.amazon.es/Miniland-Inoxidable-Herm%C3%A9tico-Aislamiento-Temperatura/dp/B0DY7Y25Z3?psc=1</x:v>
      </x:c>
      <x:c r="M206" s="4" t="str">
        <x:v>B0_84bacc4c6b66_013503</x:v>
      </x:c>
      <x:c r="N206" s="4" t="str">
        <x:v>e3ea2e98c1c80d910eb5f90dc143395e64ba571ff93384840619885b5ddcf52c</x:v>
      </x:c>
      <x:c r="O206" s="8"/>
      <x:c r="P206" s="8"/>
      <x:c r="Q206" s="8"/>
      <x:c r="R206" s="8"/>
    </x:row>
    <x:row r="207" ht="90" customHeight="1">
      <x:c r="A207" s="4" t="str">
        <x:v>P203</x:v>
      </x:c>
      <x:c r="B207" s="4" t="str">
        <x:v>Lámpara de camping Funmo LED, lámpara solar de camping</x:v>
      </x:c>
      <x:c r="C207" s="4" t="str">
        <x:v>太阳能露营灯</x:v>
      </x:c>
      <x:c r="D207" s="4" t="str">
        <x:v>露营照明</x:v>
      </x:c>
      <x:c r="E207" s="4" t="str">
        <x:v>保留</x:v>
      </x:c>
      <x:c r="F207" s="4" t="str"/>
      <x:c r="G207" s="4" t="str">
        <x:v>3221905</x:v>
      </x:c>
      <x:c r="H207" s="4" t="str">
        <x:v>Lámpara de camping Froyak</x:v>
      </x:c>
      <x:c r="I207" s="4" t="str">
        <x:v>same_type</x:v>
      </x:c>
      <x:c r="J207" s="4" t="str">
        <x:v>原文是露营灯，参照同类；太阳能供电是源品名明确差异</x:v>
      </x:c>
      <x:c r="K207" s="4" t="str">
        <x:v>亮度和太阳能续航未核实</x:v>
      </x:c>
      <x:c r="L207" s="4" t="str">
        <x:v>https://www.amazon.es/L%C3%A1mpara-camping-Funmo-l%C3%A1mpara-solar/dp/B0H9YFRVWH?psc=1</x:v>
      </x:c>
      <x:c r="M207" s="4" t="str">
        <x:v>B0_84bacc4c6b66_011647</x:v>
      </x:c>
      <x:c r="N207" s="4" t="str">
        <x:v>91eb84f7787c9b6121093f9bd470f136839315557a4b748ea73b719447cc5316</x:v>
      </x:c>
      <x:c r="O207" s="8"/>
      <x:c r="P207" s="8"/>
      <x:c r="Q207" s="8"/>
      <x:c r="R207" s="8"/>
    </x:row>
    <x:row r="208" ht="90" customHeight="1">
      <x:c r="A208" s="4" t="str">
        <x:v>P204</x:v>
      </x:c>
      <x:c r="B208" s="4" t="str">
        <x:v>Pro Breeze OmniDry Deshumidificador 12 L, bajo consumo, silencioso, 3 modos, higrostato, LED, temporizador 24 h, tubo drenaje, secado ropa, elimina humedad, moho y alergias</x:v>
      </x:c>
      <x:c r="C208" s="4" t="str">
        <x:v>家用除湿机</x:v>
      </x:c>
      <x:c r="D208" s="4" t="str">
        <x:v>降低室内湿度</x:v>
      </x:c>
      <x:c r="E208" s="4" t="str">
        <x:v>观察</x:v>
      </x:c>
      <x:c r="F208" s="4" t="str">
        <x:v>经营边界未确认</x:v>
      </x:c>
      <x:c r="G208" s="4" t="str"/>
      <x:c r="H208" s="4" t="str"/>
      <x:c r="I208" s="4" t="str">
        <x:v>none</x:v>
      </x:c>
      <x:c r="J208" s="4" t="str">
        <x:v>具有湿度控制和排水管的除湿机主体明确，车用除湿用品不能证明整机同类</x:v>
      </x:c>
      <x:c r="K208" s="4" t="str">
        <x:v>除霉及过敏改善声称未核实</x:v>
      </x:c>
      <x:c r="L208" s="4" t="str">
        <x:v>https://www.amazon.es/Pro-Breeze-Deshumidificador-Silencioso-Temporizador/dp/B09BNZWPZY/ref=sr_1_305?dib=eyJ2IjoiMSJ9.z9Mv5FGquVWCV-OiCqqP-WFGNxk-atuu2W-3GvQP6mI9_uG-losBIdfkGriDTprHezBxOwMgD3wDPpJQhqMtoZKYqtHwZj-jCspZQ4wM62VvL48mLSTrAWc3cJK9OCIhbN5BUDw_lSFJJn52Y2B3ASt0PbxFy_WS-3rt-QdIBixXPcfFHTrRhixbtUz_B2nYsxuyqnoVf2Vc9mnk2Z-QFb5Bma9dGQ1coGze2vC4MjdyLJazXU3tioHN_KE83_SFV8_MgFBUh8q4a2CTxnQvEwePjrzdg_bMiTY76XJym2c.I1qjX_jiuywDpahPUkt8UVlv8qt3p3nN8rDaBnzGZzI&amp;dib_tag=se&amp;qid=1792649158&amp;s=kitchen&amp;sr=1-305&amp;srs=88626813031&amp;xpid=qpnO31ULD-dQ4</x:v>
      </x:c>
      <x:c r="M208" s="4" t="str">
        <x:v>B0_84bacc4c6b66_016247</x:v>
      </x:c>
      <x:c r="N208" s="4" t="str">
        <x:v>e1bb2504e6828848bf4ce02af82eea45acd60b27b2576a1cf7279da8f9d2c225</x:v>
      </x:c>
      <x:c r="O208" s="8"/>
      <x:c r="P208" s="8"/>
      <x:c r="Q208" s="8"/>
      <x:c r="R208" s="8"/>
    </x:row>
    <x:row r="209" ht="90" customHeight="1">
      <x:c r="A209" s="4" t="str">
        <x:v>P205</x:v>
      </x:c>
      <x:c r="B209" s="4" t="str">
        <x:v>Iris Ohyama 4 Cajas herméticas de plástico con tapa y cierres a presión, 50L, Transparente, sello impermeable, apilables, antipolvo, para ropas, camping, exteriores, cubo de almacenaje, box, AT-L</x:v>
      </x:c>
      <x:c r="C209" s="4" t="str">
        <x:v>带扣盖塑料收纳箱</x:v>
      </x:c>
      <x:c r="D209" s="4" t="str">
        <x:v>存放衣物或用品</x:v>
      </x:c>
      <x:c r="E209" s="4" t="str">
        <x:v>保留</x:v>
      </x:c>
      <x:c r="F209" s="4" t="str"/>
      <x:c r="G209" s="4" t="str">
        <x:v>3005815</x:v>
      </x:c>
      <x:c r="H209" s="4" t="str">
        <x:v>Caja de plástico con tapa Iris</x:v>
      </x:c>
      <x:c r="I209" s="4" t="str">
        <x:v>same_type</x:v>
      </x:c>
      <x:c r="J209" s="4" t="str">
        <x:v>参照为同类带盖塑料箱；防水密封声称不作为已验证事实</x:v>
      </x:c>
      <x:c r="K209" s="4" t="str">
        <x:v>密封和堆叠承重未核实</x:v>
      </x:c>
      <x:c r="L209" s="4" t="str">
        <x:v>https://www.amazon.es/Iris-Ohyama-almacenamiento-impermeables-transparentes/dp/B0B3RVS7MB?psc=1</x:v>
      </x:c>
      <x:c r="M209" s="4" t="str">
        <x:v>B0_84bacc4c6b66_010457</x:v>
      </x:c>
      <x:c r="N209" s="4" t="str">
        <x:v>baea87571c70fbd9fcd45a71b9c13c71522effa16ff427c1f9646289e72ce44b</x:v>
      </x:c>
      <x:c r="O209" s="8"/>
      <x:c r="P209" s="8"/>
      <x:c r="Q209" s="8"/>
      <x:c r="R209" s="8"/>
    </x:row>
    <x:row r="210" ht="90" customHeight="1">
      <x:c r="A210" s="4" t="str">
        <x:v>P206</x:v>
      </x:c>
      <x:c r="B210" s="4" t="str">
        <x:v>Cámara De Arte Latte Impresa En 3D, Espolvoreador Manual De Café En Polvo | Impresora Manual De Polvo Para Café, Con 12 Tarjetas De Latte Art, Para Decorar Espuma De Leche En Capuchinos Y Otras Bebidas</x:v>
      </x:c>
      <x:c r="C210" s="4" t="str">
        <x:v>咖啡拉花撒粉器配图案卡</x:v>
      </x:c>
      <x:c r="D210" s="4" t="str">
        <x:v>在饮品表面撒粉装饰</x:v>
      </x:c>
      <x:c r="E210" s="4" t="str">
        <x:v>观察</x:v>
      </x:c>
      <x:c r="F210" s="4" t="str">
        <x:v>缺少有效Action参照</x:v>
      </x:c>
      <x:c r="G210" s="4" t="str"/>
      <x:c r="H210" s="4" t="str"/>
      <x:c r="I210" s="4" t="str">
        <x:v>none</x:v>
      </x:c>
      <x:c r="J210" s="4" t="str">
        <x:v>手动撒粉器和图案卡是主体，Cámara及打印词不代表相机或电子打印机；未找到适当参照</x:v>
      </x:c>
      <x:c r="K210" s="4" t="str">
        <x:v>具体构造和套装配置未核实</x:v>
      </x:c>
      <x:c r="L210" s="4" t="str">
        <x:v>https://www.amazon.es/Impresa-Espolvoreador-Impresora-Tarjetas-Capuchinos/dp/B0HMD3V48R?psc=1</x:v>
      </x:c>
      <x:c r="M210" s="4" t="str">
        <x:v>B0_84bacc4c6b66_010220</x:v>
      </x:c>
      <x:c r="N210" s="4" t="str">
        <x:v>b396dda2555e9426eb1e092e9f1466b6f1c533a13580858731b535dec535f90e</x:v>
      </x:c>
      <x:c r="O210" s="8"/>
      <x:c r="P210" s="8"/>
      <x:c r="Q210" s="8"/>
      <x:c r="R210" s="8"/>
    </x:row>
    <x:row r="211" ht="90" customHeight="1">
      <x:c r="A211" s="4" t="str">
        <x:v>P207</x:v>
      </x:c>
      <x:c r="B211" s="4" t="str">
        <x:v>Riel de Cortina Autoadhesivo sin Taladrar para Montaje en Techo, Recortable y Ampliable, Ideal para Ventanas, Dormitorio, Cocina, Armario y Separador de Ambientes (4.8m(40cm*12))</x:v>
      </x:c>
      <x:c r="C211" s="4" t="str">
        <x:v>自粘窗帘轨道</x:v>
      </x:c>
      <x:c r="D211" s="4" t="str">
        <x:v>悬挂并滑动窗帘</x:v>
      </x:c>
      <x:c r="E211" s="4" t="str">
        <x:v>观察</x:v>
      </x:c>
      <x:c r="F211" s="4" t="str">
        <x:v>专用或安装配件</x:v>
      </x:c>
      <x:c r="G211" s="4" t="str">
        <x:v>3223290</x:v>
      </x:c>
      <x:c r="H211" s="4" t="str">
        <x:v>Cortina opaca</x:v>
      </x:c>
      <x:c r="I211" s="4" t="str">
        <x:v>host_only</x:v>
      </x:c>
      <x:c r="J211" s="4" t="str">
        <x:v>轨道是安装构件，窗帘仅为配套对象而不是同类参照</x:v>
      </x:c>
      <x:c r="K211" s="4" t="str">
        <x:v>粘贴承重和帘钩适配未核实</x:v>
      </x:c>
      <x:c r="L211" s="4" t="str">
        <x:v>https://www.amazon.es/Autoadhesivo-Recortable-Ampliable-Dormitorio-Separador/dp/B0H8CR24BC?psc=1</x:v>
      </x:c>
      <x:c r="M211" s="4" t="str">
        <x:v>B0_84bacc4c6b66_001986</x:v>
      </x:c>
      <x:c r="N211" s="4" t="str">
        <x:v>705945c69f1a4f382bce6d1b7c3118cec25a2bcc89aca9e889e5463fd0d8df12</x:v>
      </x:c>
      <x:c r="O211" s="8"/>
      <x:c r="P211" s="8"/>
      <x:c r="Q211" s="8"/>
      <x:c r="R211" s="8"/>
    </x:row>
    <x:row r="212" ht="90" customHeight="1">
      <x:c r="A212" s="4" t="str">
        <x:v>P208</x:v>
      </x:c>
      <x:c r="B212" s="4" t="str">
        <x:v>Smartwares Detector de Humo, Sensor de 10 Años, Pila Reemplazable 1 Año | Pack de 2 unidades, Botón de prueba y silencio, Alarma acústica de 85 dB a 3 m, FSM-11712</x:v>
      </x:c>
      <x:c r="C212" s="4" t="str">
        <x:v>烟雾报警器</x:v>
      </x:c>
      <x:c r="D212" s="4" t="str">
        <x:v>检测室内烟雾并发出警报</x:v>
      </x:c>
      <x:c r="E212" s="4" t="str">
        <x:v>保留</x:v>
      </x:c>
      <x:c r="F212" s="4" t="str"/>
      <x:c r="G212" s="4" t="str">
        <x:v>3006233</x:v>
      </x:c>
      <x:c r="H212" s="4" t="str">
        <x:v>Detector de humo Smartwares FSM-022</x:v>
      </x:c>
      <x:c r="I212" s="4" t="str">
        <x:v>same_type</x:v>
      </x:c>
      <x:c r="J212" s="4" t="str">
        <x:v>真实同品牌烟雾报警器参照；传感器寿命和更换电池寿命不同，不混成矛盾</x:v>
      </x:c>
      <x:c r="K212" s="4" t="str">
        <x:v>探测性能、音量和认证未核实</x:v>
      </x:c>
      <x:c r="L212" s="4" t="str">
        <x:v>https://www.amazon.es/Smartwares-Detector-Reemplazable-unidades-FSM-11712/dp/B0HB411DK9?psc=1</x:v>
      </x:c>
      <x:c r="M212" s="4" t="str">
        <x:v>B0_84bacc4c6b66_018769</x:v>
      </x:c>
      <x:c r="N212" s="4" t="str">
        <x:v>ce8f4c6079fae2945dd6f5870ee120a6d9b8b1f8b1f2a5754c629278fd2d615e</x:v>
      </x:c>
      <x:c r="O212" s="8"/>
      <x:c r="P212" s="8"/>
      <x:c r="Q212" s="8"/>
      <x:c r="R212" s="8"/>
    </x:row>
    <x:row r="213" ht="90" customHeight="1">
      <x:c r="A213" s="4" t="str">
        <x:v>P209</x:v>
      </x:c>
      <x:c r="B213" s="4" t="str">
        <x:v>Telar, Telar De Zurcir Herramienta De Tejido Tipo Speedweve Ganchos De Acero Inoxidable Disco De Madera De Pino Kit De Telar Pequeño Reparación Rápida De Agujeros De Ropa Mini Telar (14 Hooks)</x:v>
      </x:c>
      <x:c r="C213" s="4" t="str">
        <x:v>小型织补工具</x:v>
      </x:c>
      <x:c r="D213" s="4" t="str">
        <x:v>修补衣物破洞</x:v>
      </x:c>
      <x:c r="E213" s="4" t="str">
        <x:v>观察</x:v>
      </x:c>
      <x:c r="F213" s="4" t="str">
        <x:v>缺少有效Action参照</x:v>
      </x:c>
      <x:c r="G213" s="4" t="str"/>
      <x:c r="H213" s="4" t="str"/>
      <x:c r="I213" s="4" t="str">
        <x:v>none</x:v>
      </x:c>
      <x:c r="J213" s="4" t="str">
        <x:v>主体为带钩织补器，木盘和钢材都只是构成，不能对应木盘或首饰参照</x:v>
      </x:c>
      <x:c r="K213" s="4" t="str">
        <x:v>织补能力和尺寸未核实</x:v>
      </x:c>
      <x:c r="L213" s="4" t="str">
        <x:v>https://www.amazon.es/Herramienta-Speedweve-Inoxidable-Reparaci%C3%B3n-Agujeros/dp/B0CQRJZ7TS?psc=1</x:v>
      </x:c>
      <x:c r="M213" s="4" t="str">
        <x:v>B0_84bacc4c6b66_009599</x:v>
      </x:c>
      <x:c r="N213" s="4" t="str">
        <x:v>c3706157bfac934042a75ebba39359b832858d11790dd6fe13906f412081f608</x:v>
      </x:c>
      <x:c r="O213" s="8"/>
      <x:c r="P213" s="8"/>
      <x:c r="Q213" s="8"/>
      <x:c r="R213" s="8"/>
    </x:row>
    <x:row r="214" ht="90" customHeight="1">
      <x:c r="A214" s="4" t="str">
        <x:v>P210</x:v>
      </x:c>
      <x:c r="B214" s="4" t="str">
        <x:v>Vaessen Creative Tabla de Marcar - para Tarjetas, Sobres &amp; Cajas de Regalo</x:v>
      </x:c>
      <x:c r="C214" s="4" t="str">
        <x:v>纸艺压痕板</x:v>
      </x:c>
      <x:c r="D214" s="4" t="str">
        <x:v>给卡片信封或礼盒纸张压折线</x:v>
      </x:c>
      <x:c r="E214" s="4" t="str">
        <x:v>观察</x:v>
      </x:c>
      <x:c r="F214" s="4" t="str">
        <x:v>缺少有效Action参照</x:v>
      </x:c>
      <x:c r="G214" s="4" t="str"/>
      <x:c r="H214" s="4" t="str"/>
      <x:c r="I214" s="4" t="str">
        <x:v>none</x:v>
      </x:c>
      <x:c r="J214" s="4" t="str">
        <x:v>压痕加工工具与最终信封礼盒不同，后者不证明工具参照</x:v>
      </x:c>
      <x:c r="K214" s="4" t="str">
        <x:v>槽线规格和附件未说明</x:v>
      </x:c>
      <x:c r="L214" s="4" t="str">
        <x:v>https://www.amazon.es/Vaessen-Creative-Tarjetas-Troqueles-pl%C3%A1stico/dp/B01EWORFXY/ref=sr_1_740?dib=eyJ2IjoiMSJ9.H2h6KbCCWQYLIWc3cb0ExDBtKInyjxXFyII3YZjkqz2tntIbKCT7xvFfSMdg2hKqgma9fCWo_jHkkLcUbijnYcyuE7HtxACdG42RvytETdaFNjbycKWpr3VS2i6gPm70LqtIJCbCRfjwqpsDjq6t2HLBr9cqief2nPImbTMI54NBzv1lPcu8zfYZwLp6AzKT8eauBbPmh4JG-8xyu34Gvk3YjYA_zYNdKLOKFRWmmKoQ4vNS25iPr8RqSIRlyC_KVv0LFIrpcPovhcEhtFBi2QaD0HwRf7Kz_XndXIs0J9k.tJYBlr9ovpMpfvdouEO0XqRtFAcMvOgQbGvAMVM2Gyo&amp;dib_tag=se&amp;qid=1792597240&amp;s=kitchen&amp;sr=1-740&amp;srs=88626813031&amp;xpid=CeuYXw3Vdr0Bg</x:v>
      </x:c>
      <x:c r="M214" s="4" t="str">
        <x:v>B0_84bacc4c6b66_021189</x:v>
      </x:c>
      <x:c r="N214" s="4" t="str">
        <x:v>4c6b16499327a67cdd99b96ac8b104f0405189df383cee76df2d8b82251d66a7</x:v>
      </x:c>
      <x:c r="O214" s="8"/>
      <x:c r="P214" s="8"/>
      <x:c r="Q214" s="8"/>
      <x:c r="R214" s="8"/>
    </x:row>
    <x:row r="215" ht="90" customHeight="1">
      <x:c r="A215" s="4" t="str">
        <x:v>P211</x:v>
      </x:c>
      <x:c r="B215" s="4" t="str">
        <x:v>Decoración para ventana de Halloween, 2 unidades, 120 x 80 cm | Decoración de Halloween, ventana de payaso, decoración de Halloween, decoración exterior para ventanas, puertas, paredes</x:v>
      </x:c>
      <x:c r="C215" s="4" t="str">
        <x:v>万圣节窗饰</x:v>
      </x:c>
      <x:c r="D215" s="4" t="str">
        <x:v>布置节日窗面</x:v>
      </x:c>
      <x:c r="E215" s="4" t="str">
        <x:v>保留</x:v>
      </x:c>
      <x:c r="F215" s="4" t="str"/>
      <x:c r="G215" s="4" t="str">
        <x:v>3206472</x:v>
      </x:c>
      <x:c r="H215" s="4" t="str">
        <x:v>Decoración para puerta de Halloween Cool2Party</x:v>
      </x:c>
      <x:c r="I215" s="4" t="str">
        <x:v>related_type</x:v>
      </x:c>
      <x:c r="J215" s="4" t="str">
        <x:v>门饰与窗饰支持开口处节庆装饰需求，不推定安装方法相同</x:v>
      </x:c>
      <x:c r="K215" s="4" t="str">
        <x:v>安装和室外耐候性未核实</x:v>
      </x:c>
      <x:c r="L215" s="4" t="str">
        <x:v>https://www.amazon.es/Decoraci%C3%B3n-Halloween-unidades-decoraci%C3%B3n-exterior/dp/B0H4KVG7XY?psc=1</x:v>
      </x:c>
      <x:c r="M215" s="4" t="str">
        <x:v>B0_84bacc4c6b66_005888</x:v>
      </x:c>
      <x:c r="N215" s="4" t="str">
        <x:v>ab945e59e38f9654446a4d3b713d4a3a8f7ee0838cbeb7696ac9393b7e9403ea</x:v>
      </x:c>
      <x:c r="O215" s="8"/>
      <x:c r="P215" s="8"/>
      <x:c r="Q215" s="8"/>
      <x:c r="R215" s="8"/>
    </x:row>
    <x:row r="216" ht="90" customHeight="1">
      <x:c r="A216" s="4" t="str">
        <x:v>P212</x:v>
      </x:c>
      <x:c r="B216" s="4" t="str">
        <x:v>MUGFFINS taza frases divertidas risa v3 | Frase No discuto solo explico por qué tengo razón en Español, cerámica de 330 ml</x:v>
      </x:c>
      <x:c r="C216" s="4" t="str">
        <x:v>西语趣味文字陶瓷杯</x:v>
      </x:c>
      <x:c r="D216" s="4" t="str">
        <x:v>盛装饮品或赠礼</x:v>
      </x:c>
      <x:c r="E216" s="4" t="str">
        <x:v>保留</x:v>
      </x:c>
      <x:c r="F216" s="4" t="str"/>
      <x:c r="G216" s="4" t="str">
        <x:v>3217489</x:v>
      </x:c>
      <x:c r="H216" s="4" t="str">
        <x:v>Taza</x:v>
      </x:c>
      <x:c r="I216" s="4" t="str">
        <x:v>same_type</x:v>
      </x:c>
      <x:c r="J216" s="4" t="str">
        <x:v>杯子是明确主体，文案不改变杯具类型</x:v>
      </x:c>
      <x:c r="K216" s="4" t="str">
        <x:v>耐热和洗碗机适用性未说明</x:v>
      </x:c>
      <x:c r="L216" s="4" t="str">
        <x:v>https://www.amazon.es/MUGFFINS-divertidas-discuto-explico-cer%C3%A1mica/dp/B0HHZY3B9B?psc=1</x:v>
      </x:c>
      <x:c r="M216" s="4" t="str">
        <x:v>B0_84bacc4c6b66_012903</x:v>
      </x:c>
      <x:c r="N216" s="4" t="str">
        <x:v>2626f6fcee6b04b35275a52aee5f7c355ba304d23f29ba33ca76f171880ca7c9</x:v>
      </x:c>
      <x:c r="O216" s="8"/>
      <x:c r="P216" s="8"/>
      <x:c r="Q216" s="8"/>
      <x:c r="R216" s="8"/>
    </x:row>
    <x:row r="217" ht="90" customHeight="1">
      <x:c r="A217" s="4" t="str">
        <x:v>P213</x:v>
      </x:c>
      <x:c r="B217" s="4" t="str">
        <x:v>RANJI® 15x Bolsa reutilizable para tostadora - Bolsas para sándwiches, panecillos ingleses - Tostadora, horno, máquina de panini - Reutilizable 100 veces - Bolsa para tostadora</x:v>
      </x:c>
      <x:c r="C217" s="4" t="str">
        <x:v>可重复使用烤面包袋</x:v>
      </x:c>
      <x:c r="D217" s="4" t="str">
        <x:v>包裹食品放入适配烘烤设备</x:v>
      </x:c>
      <x:c r="E217" s="4" t="str">
        <x:v>观察</x:v>
      </x:c>
      <x:c r="F217" s="4" t="str">
        <x:v>缺少有效Action参照</x:v>
      </x:c>
      <x:c r="G217" s="4" t="str"/>
      <x:c r="H217" s="4" t="str"/>
      <x:c r="I217" s="4" t="str">
        <x:v>none</x:v>
      </x:c>
      <x:c r="J217" s="4" t="str">
        <x:v>主体是耐烘烤用途袋，普通保鲜袋不能证明高温适用性参照</x:v>
      </x:c>
      <x:c r="K217" s="4" t="str">
        <x:v>材质、耐温和重复使用次数未核实</x:v>
      </x:c>
      <x:c r="L217" s="4" t="str">
        <x:v>https://www.amazon.es/RANJI-Bolsa-reutilizable-para-tostadora/dp/B09S6PRBYX?psc=1</x:v>
      </x:c>
      <x:c r="M217" s="4" t="str">
        <x:v>B0_84bacc4c6b66_016664</x:v>
      </x:c>
      <x:c r="N217" s="4" t="str">
        <x:v>141530a8857208c1a0ff083369b31f4609dea5bfa88199f175ead4d6c5157fb9</x:v>
      </x:c>
      <x:c r="O217" s="8"/>
      <x:c r="P217" s="8"/>
      <x:c r="Q217" s="8"/>
      <x:c r="R217" s="8"/>
    </x:row>
    <x:row r="218" ht="90" customHeight="1">
      <x:c r="A218" s="4" t="str">
        <x:v>P214</x:v>
      </x:c>
      <x:c r="B218" s="4" t="str">
        <x:v>QWORK Rodillo de goma, rodillo de pegamento, Herramientas de Impresión, Tinta y Estampado, 15 cm</x:v>
      </x:c>
      <x:c r="C218" s="4" t="str">
        <x:v>橡胶印刷涂胶滚轮</x:v>
      </x:c>
      <x:c r="D218" s="4" t="str">
        <x:v>滚涂胶水或印刷油墨</x:v>
      </x:c>
      <x:c r="E218" s="4" t="str">
        <x:v>保留</x:v>
      </x:c>
      <x:c r="F218" s="4" t="str"/>
      <x:c r="G218" s="4" t="str">
        <x:v>2512205</x:v>
      </x:c>
      <x:c r="H218" s="4" t="str">
        <x:v>Rodillo de cola</x:v>
      </x:c>
      <x:c r="I218" s="4" t="str">
        <x:v>related_type</x:v>
      </x:c>
      <x:c r="J218" s="4" t="str">
        <x:v>参照为涂胶滚轮，具体涂布工具相关，按摩滚轮用途不同</x:v>
      </x:c>
      <x:c r="K218" s="4" t="str">
        <x:v>胶水油墨兼容与尺寸未核实</x:v>
      </x:c>
      <x:c r="L218" s="4" t="str">
        <x:v>https://www.amazon.es/QWORK-pegamento-Herramientas-Impresi%C3%B3n-Estampado/dp/B08VD44K3V?psc=1</x:v>
      </x:c>
      <x:c r="M218" s="4" t="str">
        <x:v>B0_84bacc4c6b66_016567</x:v>
      </x:c>
      <x:c r="N218" s="4" t="str">
        <x:v>8fcea16b8bf0ae1c3c57ec2c0eeb0f14953d37ff81a522ed6ca91ff5a9ed35cf</x:v>
      </x:c>
      <x:c r="O218" s="8"/>
      <x:c r="P218" s="8"/>
      <x:c r="Q218" s="8"/>
      <x:c r="R218" s="8"/>
    </x:row>
    <x:row r="219" ht="90" customHeight="1">
      <x:c r="A219" s="4" t="str">
        <x:v>P215</x:v>
      </x:c>
      <x:c r="B219" s="4" t="str">
        <x:v>Melitta filtros de café 1x4 natural de Brown, 80 piezas</x:v>
      </x:c>
      <x:c r="C219" s="4" t="str">
        <x:v>咖啡滤纸</x:v>
      </x:c>
      <x:c r="D219" s="4" t="str">
        <x:v>过滤冲泡咖啡中的固体</x:v>
      </x:c>
      <x:c r="E219" s="4" t="str">
        <x:v>观察</x:v>
      </x:c>
      <x:c r="F219" s="4" t="str">
        <x:v>缺少有效Action参照</x:v>
      </x:c>
      <x:c r="G219" s="4" t="str"/>
      <x:c r="H219" s="4" t="str"/>
      <x:c r="I219" s="4" t="str">
        <x:v>none</x:v>
      </x:c>
      <x:c r="J219" s="4" t="str">
        <x:v>咖啡过滤耗材主体明确，水滤芯和天然坚果无同类关系</x:v>
      </x:c>
      <x:c r="K219" s="4" t="str">
        <x:v>滤纸材质与设备适配未核实</x:v>
      </x:c>
      <x:c r="L219" s="4" t="str">
        <x:v>https://www.amazon.es/Melitta-filtros-natural-Brown-piezas/dp/B01HH97VK8?psc=1</x:v>
      </x:c>
      <x:c r="M219" s="4" t="str">
        <x:v>B0_84bacc4c6b66_013328</x:v>
      </x:c>
      <x:c r="N219" s="4" t="str">
        <x:v>4e9d2f544e59882cb2b794668a4ad794c296ed206864d440d127a6fbae67e7ea</x:v>
      </x:c>
      <x:c r="O219" s="8"/>
      <x:c r="P219" s="8"/>
      <x:c r="Q219" s="8"/>
      <x:c r="R219" s="8"/>
    </x:row>
    <x:row r="220" ht="90" customHeight="1">
      <x:c r="A220" s="4" t="str">
        <x:v>P216</x:v>
      </x:c>
      <x:c r="B220" s="4" t="str">
        <x:v>Paños Microfibra Lavables para limpiador para vapor 5 para uds | Microfibra para suave, para lavado a máquina, reutilizable, para elimina grasa, apto suelos y mesas</x:v>
      </x:c>
      <x:c r="C220" s="4" t="str">
        <x:v>蒸汽清洁器用微纤维清洁布</x:v>
      </x:c>
      <x:c r="D220" s="4" t="str">
        <x:v>配合蒸汽设备擦拭表面</x:v>
      </x:c>
      <x:c r="E220" s="4" t="str">
        <x:v>观察</x:v>
      </x:c>
      <x:c r="F220" s="4" t="str">
        <x:v>专用或安装配件</x:v>
      </x:c>
      <x:c r="G220" s="4" t="str">
        <x:v>100241</x:v>
      </x:c>
      <x:c r="H220" s="4" t="str">
        <x:v>Paño de microfibra para el suelo Spargo</x:v>
      </x:c>
      <x:c r="I220" s="4" t="str">
        <x:v>related_type</x:v>
      </x:c>
      <x:c r="J220" s="4" t="str">
        <x:v>参照地板微纤维布只支持擦拭用途，不能证明蒸汽机安装尺寸和耐热适配</x:v>
      </x:c>
      <x:c r="K220" s="4" t="str">
        <x:v>清洁器型号和固定方式未明确</x:v>
      </x:c>
      <x:c r="L220" s="4" t="str">
        <x:v>https://www.amazon.es/Pa%C3%B1os-Microfibra-Lavables-limpiador-vapor/dp/B0HHBKRBPP?psc=1</x:v>
      </x:c>
      <x:c r="M220" s="4" t="str">
        <x:v>B0_84bacc4c6b66_015240</x:v>
      </x:c>
      <x:c r="N220" s="4" t="str">
        <x:v>3a540ef39668e896431e2aecb12b5e0cd8c8d941f8e5391211fbdf5a891c0cd6</x:v>
      </x:c>
      <x:c r="O220" s="8"/>
      <x:c r="P220" s="8"/>
      <x:c r="Q220" s="8"/>
      <x:c r="R220" s="8"/>
    </x:row>
    <x:row r="221" ht="90" customHeight="1">
      <x:c r="A221" s="4" t="str">
        <x:v>P217</x:v>
      </x:c>
      <x:c r="B221" s="4" t="str">
        <x:v>TATAY Cubo de Fregona Polipropileno Resistente Referencia 1103221</x:v>
      </x:c>
      <x:c r="C221" s="4" t="str">
        <x:v>拖把桶</x:v>
      </x:c>
      <x:c r="D221" s="4" t="str">
        <x:v>盛水辅助拖地</x:v>
      </x:c>
      <x:c r="E221" s="4" t="str">
        <x:v>保留</x:v>
      </x:c>
      <x:c r="F221" s="4" t="str"/>
      <x:c r="G221" s="4" t="str">
        <x:v>3212859</x:v>
      </x:c>
      <x:c r="H221" s="4" t="str">
        <x:v>Cubo con escurridor Spargo</x:v>
      </x:c>
      <x:c r="I221" s="4" t="str">
        <x:v>related_type</x:v>
      </x:c>
      <x:c r="J221" s="4" t="str">
        <x:v>参照挤水拖把桶相关，原文未说明源桶带挤水器，不能补造</x:v>
      </x:c>
      <x:c r="K221" s="4" t="str">
        <x:v>容量和是否带挤水器未说明</x:v>
      </x:c>
      <x:c r="L221" s="4" t="str">
        <x:v>https://www.amazon.es/Fregona-Polipropileno-Resistente-Referencia-1103221/dp/B00KYW6JHC/ref=sr_1_4140?dib=eyJ2IjoiMSJ9.KCnFcm2_B6C3QeQBTN18YRP2SP2B82tN72cZUOu9Yeup22oF2bwOcmGk0TTDRTjV6lxh7xt4d3NgC29TpBlIXmii3Y1CTnl5jzl1Nm7blRO9ih7EouLOLFF8KyinkPxvqCwg_-NCqrpldIHEB83161lEDZsjYOwPmcRJe-x3cwqxRqxK9kNkVu9zcWcaxND6_GQoMZnpPLkcprGQAVC7zlx0oGTxd6tkZ5wPXUkseGDsl3ec1GtHMSvQ8XB7guHsteRZoySizB3wbiTiEY89gRjgjnPFN6J0ZF6vDCmIUQE.TddsZ1A_yNVVLEgd5WUNNYBTYVt_SbUMKvk2sijACnw&amp;dib_tag=se&amp;qid=1792600756&amp;s=kitchen&amp;sr=1-4140&amp;srs=88626813031&amp;xpid=CeuYXw3Vdr0Bg</x:v>
      </x:c>
      <x:c r="M221" s="4" t="str">
        <x:v>B0_84bacc4c6b66_007978</x:v>
      </x:c>
      <x:c r="N221" s="4" t="str">
        <x:v>40f4620dbae4add98b41e4efb8a79b3a67d29d43caa2087be616bf30a33b517f</x:v>
      </x:c>
      <x:c r="O221" s="8"/>
      <x:c r="P221" s="8"/>
      <x:c r="Q221" s="8"/>
      <x:c r="R221" s="8"/>
    </x:row>
    <x:row r="222" ht="90" customHeight="1">
      <x:c r="A222" s="4" t="str">
        <x:v>P218</x:v>
      </x:c>
      <x:c r="B222" s="4" t="str">
        <x:v>Blendura Bolsas Chuches Cumpleaños 40 Piezas con Pegatinas | Bolsas Papel Colores para Caramelos, Bolsas Regalos Cumpleaños Infantiles, Boda, Escuela y Fiestas</x:v>
      </x:c>
      <x:c r="C222" s="4" t="str">
        <x:v>生日糖果纸袋配贴纸</x:v>
      </x:c>
      <x:c r="D222" s="4" t="str">
        <x:v>包装派对糖果小礼品</x:v>
      </x:c>
      <x:c r="E222" s="4" t="str">
        <x:v>观察</x:v>
      </x:c>
      <x:c r="F222" s="4" t="str">
        <x:v>参照仅覆盖套装部分</x:v>
      </x:c>
      <x:c r="G222" s="4" t="str">
        <x:v>3208197</x:v>
      </x:c>
      <x:c r="H222" s="4" t="str">
        <x:v>Bolsas de regalo</x:v>
      </x:c>
      <x:c r="I222" s="4" t="str">
        <x:v>related_type</x:v>
      </x:c>
      <x:c r="J222" s="4" t="str">
        <x:v>礼品袋参照有效，但未涵盖附带贴纸的完整组合；参照不足以支持完整销售主体</x:v>
      </x:c>
      <x:c r="K222" s="4" t="str">
        <x:v>食品直接接触适用性未核实</x:v>
      </x:c>
      <x:c r="L222" s="4" t="str">
        <x:v>https://www.amazon.es/Blendura-Chuches-Cumplea%C3%B1os-Infantil-Envolver/dp/B0D9W3K6D9?psc=1</x:v>
      </x:c>
      <x:c r="M222" s="4" t="str">
        <x:v>B0_84bacc4c6b66_002925</x:v>
      </x:c>
      <x:c r="N222" s="4" t="str">
        <x:v>8654ae5fd776c5ad00f315978d8b23ebbbe1e5d052df23e8a0097082ed967521</x:v>
      </x:c>
      <x:c r="O222" s="8"/>
      <x:c r="P222" s="8"/>
      <x:c r="Q222" s="8"/>
      <x:c r="R222" s="8"/>
    </x:row>
    <x:row r="223" ht="90" customHeight="1">
      <x:c r="A223" s="4" t="str">
        <x:v>P219</x:v>
      </x:c>
      <x:c r="B223" s="4" t="str">
        <x:v>Hervidor de Agua con Control de Temperatura, Dispensador de Agua Caliente | 3,5L Cristal Mantener Caliente &amp; Bloqueo Niños, Acero Inoxidable 304 800W para Biberón Té Hogar y Oficina</x:v>
      </x:c>
      <x:c r="C223" s="4" t="str">
        <x:v>控温热水分配器</x:v>
      </x:c>
      <x:c r="D223" s="4" t="str">
        <x:v>加热并取用饮用水</x:v>
      </x:c>
      <x:c r="E223" s="4" t="str">
        <x:v>观察</x:v>
      </x:c>
      <x:c r="F223" s="4" t="str">
        <x:v>经营边界未确认</x:v>
      </x:c>
      <x:c r="G223" s="4" t="str">
        <x:v>3217699</x:v>
      </x:c>
      <x:c r="H223" s="4" t="str">
        <x:v>Dispensador de agua caliente Tomado</x:v>
      </x:c>
      <x:c r="I223" s="4" t="str">
        <x:v>same_type</x:v>
      </x:c>
      <x:c r="J223" s="4" t="str">
        <x:v>参照明确热水分配器；这是饮水用小家电，不是固定生活热水设备</x:v>
      </x:c>
      <x:c r="K223" s="4" t="str">
        <x:v>温控、锁定和保温性能未核实</x:v>
      </x:c>
      <x:c r="L223" s="4" t="str">
        <x:v>https://www.amazon.es/Hervidor-Control-Temperatura-Dispensador-Caliente/dp/B0HCNF4BF3?psc=1</x:v>
      </x:c>
      <x:c r="M223" s="4" t="str">
        <x:v>B0_84bacc4c6b66_009638</x:v>
      </x:c>
      <x:c r="N223" s="4" t="str">
        <x:v>755539454dbeebf1441d15407c22f569d63538ad7595f0429833da769497d7fc</x:v>
      </x:c>
      <x:c r="O223" s="8"/>
      <x:c r="P223" s="8"/>
      <x:c r="Q223" s="8"/>
      <x:c r="R223" s="8"/>
    </x:row>
    <x:row r="224" ht="90" customHeight="1">
      <x:c r="A224" s="4" t="str">
        <x:v>P220</x:v>
      </x:c>
      <x:c r="B224" s="4" t="str">
        <x:v>Utensilios de Cocina de Teca, 7 Piezas - Espátula de Cocina Incluida</x:v>
      </x:c>
      <x:c r="C224" s="4" t="str">
        <x:v>柚木厨具套装</x:v>
      </x:c>
      <x:c r="D224" s="4" t="str">
        <x:v>翻拌和盛取食物</x:v>
      </x:c>
      <x:c r="E224" s="4" t="str">
        <x:v>保留</x:v>
      </x:c>
      <x:c r="F224" s="4" t="str"/>
      <x:c r="G224" s="4" t="str">
        <x:v>3212493</x:v>
      </x:c>
      <x:c r="H224" s="4" t="str">
        <x:v>Set de utensilios de cocina</x:v>
      </x:c>
      <x:c r="I224" s="4" t="str">
        <x:v>same_type</x:v>
      </x:c>
      <x:c r="J224" s="4" t="str">
        <x:v>源与参照均为厨具套装，具体材质和每件配置不能互相补写</x:v>
      </x:c>
      <x:c r="K224" s="4" t="str">
        <x:v>七件清单与食品接触性能未核实</x:v>
      </x:c>
      <x:c r="L224" s="4" t="str">
        <x:v>https://www.amazon.es/Utensilios-Cocina-Teca-Piezas-Esp%C3%A1tula/dp/B08XXDLMXF/ref=sr_1_3414?dib=eyJ2IjoiMSJ9.uitF4bvt0TXXNWa7vl0LTzg3vVV5cojBiBCNR5oEO7LbjxOQyxU7eQsfKMbEHkHXi1JaSj-kBKXfoYUcVyIjO1rgiKpmJ3Z7axpEOyd0weSRi30NL2Zs5NG2QMe8kTDkSc7TeixqwrQXG8p1XmZxhkr214Is-L5ukc-CpMbqsD7yZPK8nvO87kofzxpv-SAauoXHDDkIOZq2M_y2-JEOY1_izGHWZXXZeiBO3xHfxUb5gblEou4qVToZ5Z35xIJmKEx35X6c01m07I9V7v20zUYJdvcfcQSPdNG1v8TLIGA.e-CS3GYJecVBzx9460WnUxcb6GwTkPTIrtlvZJ3TVmE&amp;dib_tag=se&amp;qid=1792599844&amp;s=kitchen&amp;sr=1-3414&amp;srs=88626813031&amp;xpid=CeuYXw3Vdr0Bg</x:v>
      </x:c>
      <x:c r="M224" s="4" t="str">
        <x:v>B0_84bacc4c6b66_020704</x:v>
      </x:c>
      <x:c r="N224" s="4" t="str">
        <x:v>11e818be2b7b827267eb780ea82b6aecf882f35b1700ffc4042191e43efbf491</x:v>
      </x:c>
      <x:c r="O224" s="8"/>
      <x:c r="P224" s="8"/>
      <x:c r="Q224" s="8"/>
      <x:c r="R224" s="8"/>
    </x:row>
    <x:row r="225" ht="90" customHeight="1">
      <x:c r="A225" s="4" t="str">
        <x:v>P221</x:v>
      </x:c>
      <x:c r="B225" s="4" t="str">
        <x:v>Baff Bombz Cepillo Mágico de Zimpli Kids, 4 x Bombas de Baño, Pinta Mágicamente tu Agua de Baño, Juguete de Baño Creativo para Niños, Regalos de Cumpleaños para Niños y Niñas</x:v>
      </x:c>
      <x:c r="C225" s="4" t="str">
        <x:v>浴水绘画刷和泡澡球组合</x:v>
      </x:c>
      <x:c r="D225" s="4" t="str">
        <x:v>儿童洗浴玩乐</x:v>
      </x:c>
      <x:c r="E225" s="4" t="str">
        <x:v>观察</x:v>
      </x:c>
      <x:c r="F225" s="4" t="str">
        <x:v>参照仅覆盖套装部分</x:v>
      </x:c>
      <x:c r="G225" s="4" t="str">
        <x:v>3218690</x:v>
      </x:c>
      <x:c r="H225" s="4" t="str">
        <x:v>Bombas de baño</x:v>
      </x:c>
      <x:c r="I225" s="4" t="str">
        <x:v>related_type</x:v>
      </x:c>
      <x:c r="J225" s="4" t="str">
        <x:v>泡澡球参照只覆盖部分组合，刷具是共同销售内容不能忽略；参照不足以支持完整销售主体</x:v>
      </x:c>
      <x:c r="K225" s="4" t="str">
        <x:v>适龄与皮肤适用性未核实</x:v>
      </x:c>
      <x:c r="L225" s="4" t="str">
        <x:v>https://www.amazon.es/Cepillo-M%C3%A1gicamente-Juguete-Creativo-Cumplea%C3%B1os/dp/B09ZJ5B4H4?psc=1</x:v>
      </x:c>
      <x:c r="M225" s="4" t="str">
        <x:v>B0_84bacc4c6b66_004529</x:v>
      </x:c>
      <x:c r="N225" s="4" t="str">
        <x:v>477bc4776363d242e0207138270f5ef61b453616c3bcdd5e9bde308c1d28269c</x:v>
      </x:c>
      <x:c r="O225" s="8"/>
      <x:c r="P225" s="8"/>
      <x:c r="Q225" s="8"/>
      <x:c r="R225" s="8"/>
    </x:row>
    <x:row r="226" ht="90" customHeight="1">
      <x:c r="A226" s="4" t="str">
        <x:v>P222</x:v>
      </x:c>
      <x:c r="B226" s="4" t="str">
        <x:v>15 varillas roscadas M6/M8/M10 x 100 mm, con 15 tuercas | Varilla roscada, anclajes de pernos, tornillos roscados, pernos roscados de acero inoxidable, tornillos roscados completos</x:v>
      </x:c>
      <x:c r="C226" s="4" t="str">
        <x:v>螺纹杆及螺母组合</x:v>
      </x:c>
      <x:c r="D226" s="4" t="str">
        <x:v>通用连接紧固</x:v>
      </x:c>
      <x:c r="E226" s="4" t="str">
        <x:v>保留</x:v>
      </x:c>
      <x:c r="F226" s="4" t="str"/>
      <x:c r="G226" s="4" t="str">
        <x:v>2538534</x:v>
      </x:c>
      <x:c r="H226" s="4" t="str">
        <x:v>Tornillos Fischer</x:v>
      </x:c>
      <x:c r="I226" s="4" t="str">
        <x:v>related_type</x:v>
      </x:c>
      <x:c r="J226" s="4" t="str">
        <x:v>螺纹杆是紧固五金，螺丝参照属于相关连接件；香薰棒仅词形重合</x:v>
      </x:c>
      <x:c r="K226" s="4" t="str">
        <x:v>规格适配、承载和材质等级未核实</x:v>
      </x:c>
      <x:c r="L226" s="4" t="str">
        <x:v>https://www.amazon.es/varillas-roscadas-tornillos-inoxidable-completos/dp/B0H7LRVL1K?psc=1</x:v>
      </x:c>
      <x:c r="M226" s="4" t="str">
        <x:v>B0_84bacc4c6b66_025055</x:v>
      </x:c>
      <x:c r="N226" s="4" t="str">
        <x:v>1c0bdd84921060cdb0d158228b91f7f2f5759b735f09a0c1d189dcbcb65c8e93</x:v>
      </x:c>
      <x:c r="O226" s="8"/>
      <x:c r="P226" s="8"/>
      <x:c r="Q226" s="8"/>
      <x:c r="R226" s="8"/>
    </x:row>
    <x:row r="227" ht="90" customHeight="1">
      <x:c r="A227" s="4" t="str">
        <x:v>P223</x:v>
      </x:c>
      <x:c r="B227" s="4" t="str">
        <x:v>Keenstone - 2x2 Tostadora inteligente con 4 ranuras (pantalla táctil inclinada 75°, control dual independiente, función de malla única, calentamiento y descongelación, 6 ajustes de dorado automático</x:v>
      </x:c>
      <x:c r="C227" s="4" t="str">
        <x:v>四槽触屏烤面包机</x:v>
      </x:c>
      <x:c r="D227" s="4" t="str">
        <x:v>烘烤面包片</x:v>
      </x:c>
      <x:c r="E227" s="4" t="str">
        <x:v>观察</x:v>
      </x:c>
      <x:c r="F227" s="4" t="str">
        <x:v>经营边界未确认</x:v>
      </x:c>
      <x:c r="G227" s="4" t="str">
        <x:v>3217367</x:v>
      </x:c>
      <x:c r="H227" s="4" t="str">
        <x:v>Tostadora digital</x:v>
      </x:c>
      <x:c r="I227" s="4" t="str">
        <x:v>same_type</x:v>
      </x:c>
      <x:c r="J227" s="4" t="str">
        <x:v>参照数字烤面包机相关，触屏一词不能将主体变成手机配件</x:v>
      </x:c>
      <x:c r="K227" s="4" t="str">
        <x:v>控制和烘烤性能未核实</x:v>
      </x:c>
      <x:c r="L227" s="4" t="str">
        <x:v>https://www.amazon.es/Keenstone-inteligente-independiente-calentamiento-descongelaci%C3%B3n/dp/B0FQVH62VS/ref=sr_1_1455?dib=eyJ2IjoiMSJ9.IE9Sm3Rq0HYvdnPmCcxBgLNWAIt0Ios8J-6augz5UC-Hq_7temtBH-exnLwF4C3M935PEIBHvVLzBSsI-1cyVsQ11dEXVxN5JLL7H785fjGdrJxFtRZhleX8Uj70ki_EPN0Z6Ppdz3JkgoJynWLOlYjc6p-6Rbhz3-2tPwaEedzYRprxh5os3jgZzlBW6ZWlIQfdvH4GEpnqxmFGyJfoGF9nVo03sb2d7ityBNILJJRlyiiKbQU_GajeDRRIX0y_26bOXp0Jpl3rfGub1Ro9LF26O_RPOETaEcHDYMMi5fA.9nBDXAAcj7lz5GqEnnwddkWyTEYM75TlvYlEaQwuQMo&amp;dib_tag=se&amp;qid=1792597810&amp;s=kitchen&amp;sr=1-1455&amp;srs=88626813031&amp;xpid=CeuYXw3Vdr0Bg</x:v>
      </x:c>
      <x:c r="M227" s="4" t="str">
        <x:v>B0_84bacc4c6b66_011329</x:v>
      </x:c>
      <x:c r="N227" s="4" t="str">
        <x:v>9ddcd74692a15ef84210dc5db96fcd66e222153f788e7c1829ea4af9a04e901b</x:v>
      </x:c>
      <x:c r="O227" s="8"/>
      <x:c r="P227" s="8"/>
      <x:c r="Q227" s="8"/>
      <x:c r="R227" s="8"/>
    </x:row>
    <x:row r="228" ht="90" customHeight="1">
      <x:c r="A228" s="4" t="str">
        <x:v>P224</x:v>
      </x:c>
      <x:c r="B228" s="4" t="str">
        <x:v>Polyte Toalla Facial de Microfibra Waffle 430 gsm, 33,0x33,0 cm</x:v>
      </x:c>
      <x:c r="C228" s="4" t="str">
        <x:v>微纤维面巾</x:v>
      </x:c>
      <x:c r="D228" s="4" t="str">
        <x:v>擦拭面部</x:v>
      </x:c>
      <x:c r="E228" s="4" t="str">
        <x:v>保留</x:v>
      </x:c>
      <x:c r="F228" s="4" t="str"/>
      <x:c r="G228" s="4" t="str">
        <x:v>3216958</x:v>
      </x:c>
      <x:c r="H228" s="4" t="str">
        <x:v>Toalla de manos</x:v>
      </x:c>
      <x:c r="I228" s="4" t="str">
        <x:v>related_type</x:v>
      </x:c>
      <x:c r="J228" s="4" t="str">
        <x:v>小型洗护巾与手巾用途相近，沙滩巾尺寸和使用部位不同</x:v>
      </x:c>
      <x:c r="K228" s="4" t="str">
        <x:v>吸水性与克重未独立核实</x:v>
      </x:c>
      <x:c r="L228" s="4" t="str">
        <x:v>https://www.amazon.es/Polyte-Microfibra-superabsorbente-antipelusa-33/dp/B0BL6QFWVH?psc=1</x:v>
      </x:c>
      <x:c r="M228" s="4" t="str">
        <x:v>B0_84bacc4c6b66_016034</x:v>
      </x:c>
      <x:c r="N228" s="4" t="str">
        <x:v>417f8b90490f54623656a3a20dfa903d71ed5fb1a11e86a07ba11b2919688102</x:v>
      </x:c>
      <x:c r="O228" s="8"/>
      <x:c r="P228" s="8"/>
      <x:c r="Q228" s="8"/>
      <x:c r="R228" s="8"/>
    </x:row>
    <x:row r="229" ht="90" customHeight="1">
      <x:c r="A229" s="4" t="str">
        <x:v>P225</x:v>
      </x:c>
      <x:c r="B229" s="4" t="str">
        <x:v>LEXIBOOK, Kuromi, Despertador y Figura de Luz Nocturna, Morado, RL800HK1LXB | Despertador Kuromi con luz nocturna 3D, LCD retroiluminada, sonidos, 6 tonos y repetición.</x:v>
      </x:c>
      <x:c r="C229" s="4" t="str">
        <x:v>Kuromi夜灯闹钟</x:v>
      </x:c>
      <x:c r="D229" s="4" t="str">
        <x:v>报时唤醒兼夜间照明</x:v>
      </x:c>
      <x:c r="E229" s="4" t="str">
        <x:v>保留</x:v>
      </x:c>
      <x:c r="F229" s="4" t="str"/>
      <x:c r="G229" s="4" t="str">
        <x:v>3223164</x:v>
      </x:c>
      <x:c r="H229" s="4" t="str">
        <x:v>Luz despertador con alarma Grundig</x:v>
      </x:c>
      <x:c r="I229" s="4" t="str">
        <x:v>same_type</x:v>
      </x:c>
      <x:c r="J229" s="4" t="str">
        <x:v>参照同为带闹铃的唤醒灯，角色造型不改变功能主体</x:v>
      </x:c>
      <x:c r="K229" s="4" t="str">
        <x:v>音效与授权未核实</x:v>
      </x:c>
      <x:c r="L229" s="4" t="str">
        <x:v>https://www.amazon.es/LEXIBOOK-Kuromi-Despertador-Nocturna-RL800HK1LXB/dp/B0HHMZCWM3?psc=1</x:v>
      </x:c>
      <x:c r="M229" s="4" t="str">
        <x:v>B0_84bacc4c6b66_011829</x:v>
      </x:c>
      <x:c r="N229" s="4" t="str">
        <x:v>ea73f097931ea16cb29bcdf97359e7fe1e62888a3f8810e6858a45a9089c3f91</x:v>
      </x:c>
      <x:c r="O229" s="8"/>
      <x:c r="P229" s="8"/>
      <x:c r="Q229" s="8"/>
      <x:c r="R229" s="8"/>
    </x:row>
    <x:row r="230" ht="90" customHeight="1">
      <x:c r="A230" s="4" t="str">
        <x:v>P226</x:v>
      </x:c>
      <x:c r="B230" s="4" t="str">
        <x:v>Moulinex Easy Fry &amp; Grill 4,2L, Freidora de Aire 2 en 1 para Freír o a la Parrilla, Pantalla Digital Táctil, 8 Programas para Comidas Sanas, App 125 recetas, Negro, hasta 6 personas, EZ5058</x:v>
      </x:c>
      <x:c r="C230" s="4" t="str">
        <x:v>空气炸锅兼烤炉</x:v>
      </x:c>
      <x:c r="D230" s="4" t="str">
        <x:v>热风烹饪食物</x:v>
      </x:c>
      <x:c r="E230" s="4" t="str">
        <x:v>观察</x:v>
      </x:c>
      <x:c r="F230" s="4" t="str">
        <x:v>经营边界未确认</x:v>
      </x:c>
      <x:c r="G230" s="4" t="str">
        <x:v>3212789</x:v>
      </x:c>
      <x:c r="H230" s="4" t="str">
        <x:v>Freidora de aire Petra Dual View</x:v>
      </x:c>
      <x:c r="I230" s="4" t="str">
        <x:v>same_type</x:v>
      </x:c>
      <x:c r="J230" s="4" t="str">
        <x:v>真实空气炸锅参照相关；触控屏不是销售主体</x:v>
      </x:c>
      <x:c r="K230" s="4" t="str">
        <x:v>容量与烹饪性能未核实</x:v>
      </x:c>
      <x:c r="L230" s="4" t="str">
        <x:v>https://www.amazon.es/Moulinex-Easy-Fry-Grill-EZ5058/dp/B09FQBKFQ6/ref=sr_1_2849?dib=eyJ2IjoiMSJ9.AFswsClsShMA10mUnY2vINRTycGSGJSpNq6pwtxO-P0A3AU0qfIj6gxlPhpZCgQrNyTCKPYrTRBc8zIxlDPjs3nj751vNP_CochBDJlQr20CMT_i_tYOki7GDi_VscPU3dAGoD-c5B9OuJgWSwzcYhl-6a8UzgESijT3RbldqdwOfX5uoobDqr4ZSjbbpb-kzZWYPFKpBJhO7XWi2jyIUtEYh9sp2CN_fzf12mDXZaU8VHug0DxtRqTsyj-6fvbI3pyvY7Mp9BeTMOx8cM2C7ztNgvgdI138CA_JwbZEit0.QoRWmobj4Fu3BEoG3KO3IL5amggy6Bt2OXAtJOy16E4&amp;dib_tag=se&amp;qid=1792599174&amp;s=kitchen&amp;sr=1-2849&amp;srs=88626813031&amp;xpid=CeuYXw3Vdr0Bg</x:v>
      </x:c>
      <x:c r="M230" s="4" t="str">
        <x:v>B0_84bacc4c6b66_013780</x:v>
      </x:c>
      <x:c r="N230" s="4" t="str">
        <x:v>40444fa831917fa637e5e99927b8f063c80200617f209ebaf4cc4346a8f666db</x:v>
      </x:c>
      <x:c r="O230" s="8"/>
      <x:c r="P230" s="8"/>
      <x:c r="Q230" s="8"/>
      <x:c r="R230" s="8"/>
    </x:row>
    <x:row r="231" ht="90" customHeight="1">
      <x:c r="A231" s="4" t="str">
        <x:v>P227</x:v>
      </x:c>
      <x:c r="B231" s="4" t="str">
        <x:v>Caja 12 Botellas de 1 litro Bioetanol 99,5% Origen Vegetal para chimeneas</x:v>
      </x:c>
      <x:c r="C231" s="4" t="str">
        <x:v>壁炉用生物乙醇燃料</x:v>
      </x:c>
      <x:c r="D231" s="4" t="str">
        <x:v>为适配壁炉供给燃料</x:v>
      </x:c>
      <x:c r="E231" s="4" t="str">
        <x:v>观察</x:v>
      </x:c>
      <x:c r="F231" s="4" t="str">
        <x:v>经营边界未确认</x:v>
      </x:c>
      <x:c r="G231" s="4" t="str"/>
      <x:c r="H231" s="4" t="str"/>
      <x:c r="I231" s="4" t="str">
        <x:v>none</x:v>
      </x:c>
      <x:c r="J231" s="4" t="str">
        <x:v>瓶装燃料是销售内容，玻璃瓶参照无法支持燃料经营边界</x:v>
      </x:c>
      <x:c r="K231" s="4" t="str">
        <x:v>纯度、运输及燃烧适用性未核实</x:v>
      </x:c>
      <x:c r="L231" s="4" t="str">
        <x:v>https://www.amazon.es/Botellas-Bioetanol-origen-Vegetal-chimeneas/dp/B07KY1T24X?psc=1</x:v>
      </x:c>
      <x:c r="M231" s="4" t="str">
        <x:v>B0_84bacc4c6b66_003329</x:v>
      </x:c>
      <x:c r="N231" s="4" t="str">
        <x:v>c5b72d8df1a6531567b7635eec0088a7520ea35abc26150dc78db795e527f885</x:v>
      </x:c>
      <x:c r="O231" s="8"/>
      <x:c r="P231" s="8"/>
      <x:c r="Q231" s="8"/>
      <x:c r="R231" s="8"/>
    </x:row>
    <x:row r="232" ht="90" customHeight="1">
      <x:c r="A232" s="4" t="str">
        <x:v>P228</x:v>
      </x:c>
      <x:c r="B232" s="4" t="str">
        <x:v>Zeller Zeller 13037 Premium - Taburete Plegable (plástico, soporta hasta 150 kg, 38,5 x 31,5 x 39 cm, tamaño Grande), Color Gris</x:v>
      </x:c>
      <x:c r="C232" s="4" t="str">
        <x:v>塑料折叠凳</x:v>
      </x:c>
      <x:c r="D232" s="4" t="str">
        <x:v>辅助坐靠或取高物，具体用法待核</x:v>
      </x:c>
      <x:c r="E232" s="4" t="str">
        <x:v>观察</x:v>
      </x:c>
      <x:c r="F232" s="4" t="str">
        <x:v>经营边界未确认</x:v>
      </x:c>
      <x:c r="G232" s="4" t="str">
        <x:v>2565211</x:v>
      </x:c>
      <x:c r="H232" s="4" t="str">
        <x:v>Taburete plegable</x:v>
      </x:c>
      <x:c r="I232" s="4" t="str">
        <x:v>same_type</x:v>
      </x:c>
      <x:c r="J232" s="4" t="str">
        <x:v>真实折叠凳参照存在，但家具形态经营边界按冻结规则复核</x:v>
      </x:c>
      <x:c r="K232" s="4" t="str">
        <x:v>承重和能否作踏凳未核实</x:v>
      </x:c>
      <x:c r="L232" s="4" t="str">
        <x:v>https://www.amazon.es/Zeller-13037-Taburete-Plegable/dp/B0831YP9LM/ref=sr_1_1410?dib=eyJ2IjoiMSJ9.WIPdEEZsFpTUyWDeQ1CGWdK4y_D756nTcPszE61gFh9zUnlS3WINpA989N2Z1hmrYK7_WbAHtjcpi26c3nZNIWAAsJQ9wjyrmpdK0CWFPp6G1v570e2NoWaCBfII3WHK5NarXnP2lTQgNVSjjh2boZK02zSYPhtK07d42RYWR9FoX3EbvUUvd_LcUUJWfGt0WppjqGgxsyFOHmP03H7gzKvS7scVGujNRjMkAroXHLl-7AcCe5rT--T5p9YktvusvoraEcGeh2eyFkCVmBDg97E-wyq7S7v75apoW60DOpE.g3BLoae5P6PzkeR5J8HikHGG0KRoTFTnUnT5lJDm5lU&amp;dib_tag=se&amp;qid=1792649978&amp;s=kitchen&amp;sr=1-1410&amp;srs=88626813031&amp;xpid=qpnO31ULD-dQ4</x:v>
      </x:c>
      <x:c r="M232" s="4" t="str">
        <x:v>B0_84bacc4c6b66_022931</x:v>
      </x:c>
      <x:c r="N232" s="4" t="str">
        <x:v>0af2c7458ab8b0075204302ed9ac94a4baa322ce9cfe966faf8d39c11bae3a90</x:v>
      </x:c>
      <x:c r="O232" s="8"/>
      <x:c r="P232" s="8"/>
      <x:c r="Q232" s="8"/>
      <x:c r="R232" s="8"/>
    </x:row>
    <x:row r="233" ht="90" customHeight="1">
      <x:c r="A233" s="4" t="str">
        <x:v>P229</x:v>
      </x:c>
      <x:c r="B233" s="4" t="str">
        <x:v>LQWELL® LÁMpara de Noche Plegable con Sensor Crepuscular, LÁMpara de Noche con Brillo Ajustable, Luz de Enchufe AutomÁTica, Luz de OrientaciÓN Blanca CÁLida (Blanco, 2 Piezas)</x:v>
      </x:c>
      <x:c r="C233" s="4" t="str">
        <x:v>带感光传感器插座夜灯</x:v>
      </x:c>
      <x:c r="D233" s="4" t="str">
        <x:v>夜间低亮度引导照明</x:v>
      </x:c>
      <x:c r="E233" s="4" t="str">
        <x:v>保留</x:v>
      </x:c>
      <x:c r="F233" s="4" t="str"/>
      <x:c r="G233" s="4" t="str">
        <x:v>3213543</x:v>
      </x:c>
      <x:c r="H233" s="4" t="str">
        <x:v>Lámpara de noche</x:v>
      </x:c>
      <x:c r="I233" s="4" t="str">
        <x:v>same_type</x:v>
      </x:c>
      <x:c r="J233" s="4" t="str">
        <x:v>明确夜灯，插接使用不等同需要施工安装的吸顶灯</x:v>
      </x:c>
      <x:c r="K233" s="4" t="str">
        <x:v>调光和感光性能未核实</x:v>
      </x:c>
      <x:c r="L233" s="4" t="str">
        <x:v>https://www.amazon.es/Plegable-Crepuscular-Ajustable-Autom%C3%81Tica-Orientaci%C3%93N/dp/B0DPBYPDKD?psc=1</x:v>
      </x:c>
      <x:c r="M233" s="4" t="str">
        <x:v>B0_84bacc4c6b66_015974</x:v>
      </x:c>
      <x:c r="N233" s="4" t="str">
        <x:v>6ad099734145dc324a464680126c55949ab6452ac6286407d75304b55125866b</x:v>
      </x:c>
      <x:c r="O233" s="8"/>
      <x:c r="P233" s="8"/>
      <x:c r="Q233" s="8"/>
      <x:c r="R233" s="8"/>
    </x:row>
    <x:row r="234" ht="90" customHeight="1">
      <x:c r="A234" s="4" t="str">
        <x:v>P230</x:v>
      </x:c>
      <x:c r="B234" s="4" t="str">
        <x:v>Pantone Formula Guide – Coated &amp; Uncoated New Version | Professional PMS Color Matching System for Print, Packaging &amp; Graphic Design | GP1601C [NEW VERSION]</x:v>
      </x:c>
      <x:c r="C234" s="4" t="str">
        <x:v>印刷色彩匹配色卡</x:v>
      </x:c>
      <x:c r="D234" s="4" t="str">
        <x:v>设计或印刷时比对颜色</x:v>
      </x:c>
      <x:c r="E234" s="4" t="str">
        <x:v>观察</x:v>
      </x:c>
      <x:c r="F234" s="4" t="str">
        <x:v>经营边界未确认</x:v>
      </x:c>
      <x:c r="G234" s="4" t="str"/>
      <x:c r="H234" s="4" t="str"/>
      <x:c r="I234" s="4" t="str">
        <x:v>none</x:v>
      </x:c>
      <x:c r="J234" s="4" t="str">
        <x:v>销售专业色彩参考工具，卡纸与剪刀不提供同等色彩标准参照；专业工具范围待确认</x:v>
      </x:c>
      <x:c r="K234" s="4" t="str">
        <x:v>版本与颜色标准准确性未核实</x:v>
      </x:c>
      <x:c r="L234" s="4" t="str">
        <x:v>https://www.amazon.es/Pantone-Formula-Guide-Professional-Packaging/dp/1590656423?psc=1</x:v>
      </x:c>
      <x:c r="M234" s="4" t="str">
        <x:v>B0_84bacc4c6b66_015346</x:v>
      </x:c>
      <x:c r="N234" s="4" t="str">
        <x:v>9c97378c06a7a9bd22b4ea564dc16418e208f6932c704ad9ef2835cd3f6dd7f2</x:v>
      </x:c>
      <x:c r="O234" s="8"/>
      <x:c r="P234" s="8"/>
      <x:c r="Q234" s="8"/>
      <x:c r="R234" s="8"/>
    </x:row>
    <x:row r="235" ht="90" customHeight="1">
      <x:c r="A235" s="4" t="str">
        <x:v>P231</x:v>
      </x:c>
      <x:c r="B235" s="4" t="str">
        <x:v>YAYA Market Tapón cebador de repuesto compatible con termos Stanley Classic de boca ancha – Pico vertedor giratorio, cierre hermético y vertido controlado – Negro y rojo</x:v>
      </x:c>
      <x:c r="C235" s="4" t="str">
        <x:v>指定保温壶替换出水塞</x:v>
      </x:c>
      <x:c r="D235" s="4" t="str">
        <x:v>控制适配保温壶倒水</x:v>
      </x:c>
      <x:c r="E235" s="4" t="str">
        <x:v>观察</x:v>
      </x:c>
      <x:c r="F235" s="4" t="str">
        <x:v>专用或安装配件</x:v>
      </x:c>
      <x:c r="G235" s="4" t="str">
        <x:v>3207057</x:v>
      </x:c>
      <x:c r="H235" s="4" t="str">
        <x:v>Termo</x:v>
      </x:c>
      <x:c r="I235" s="4" t="str">
        <x:v>host_only</x:v>
      </x:c>
      <x:c r="J235" s="4" t="str">
        <x:v>销售壶塞配件而非完整保温壶，参照只能体现宿主</x:v>
      </x:c>
      <x:c r="K235" s="4" t="str">
        <x:v>Stanley适配口径和密封未核实</x:v>
      </x:c>
      <x:c r="L235" s="4" t="str">
        <x:v>https://www.amazon.es/YAYA-Market-cebador-repuesto-compatible/dp/B0DBVYVVVC?psc=1</x:v>
      </x:c>
      <x:c r="M235" s="4" t="str">
        <x:v>B0_84bacc4c6b66_022408</x:v>
      </x:c>
      <x:c r="N235" s="4" t="str">
        <x:v>f05e3ea9ee3becd50bb8ba7f9f2a41c6be3231aa2792e694515221fd2714300d</x:v>
      </x:c>
      <x:c r="O235" s="8"/>
      <x:c r="P235" s="8"/>
      <x:c r="Q235" s="8"/>
      <x:c r="R235" s="8"/>
    </x:row>
    <x:row r="236" ht="90" customHeight="1">
      <x:c r="A236" s="4" t="str">
        <x:v>P232</x:v>
      </x:c>
      <x:c r="B236" s="4" t="str">
        <x:v>Tarjetas de paleta de colores estacionales Guía de estilo portátil Colgante | Paletas de colores personales tarjetas para vestuario trajes maquillaje otoño invierno armario moda</x:v>
      </x:c>
      <x:c r="C236" s="4" t="str">
        <x:v>个人穿搭季型色卡</x:v>
      </x:c>
      <x:c r="D236" s="4" t="str">
        <x:v>搭配衣着和化妆色彩</x:v>
      </x:c>
      <x:c r="E236" s="4" t="str">
        <x:v>观察</x:v>
      </x:c>
      <x:c r="F236" s="4" t="str">
        <x:v>缺少有效Action参照</x:v>
      </x:c>
      <x:c r="G236" s="4" t="str"/>
      <x:c r="H236" s="4" t="str"/>
      <x:c r="I236" s="4" t="str">
        <x:v>none</x:v>
      </x:c>
      <x:c r="J236" s="4" t="str">
        <x:v>主体为配色参考卡，彩色铅笔与绳子没有相同使用功能</x:v>
      </x:c>
      <x:c r="K236" s="4" t="str">
        <x:v>季型理论和印色准确性未验证</x:v>
      </x:c>
      <x:c r="L236" s="4" t="str">
        <x:v>https://www.amazon.es/Tarjetas-colores-estacionales-port%C3%A1til-Colgante/dp/B0HLBG28D2?psc=1</x:v>
      </x:c>
      <x:c r="M236" s="4" t="str">
        <x:v>B0_84bacc4c6b66_019621</x:v>
      </x:c>
      <x:c r="N236" s="4" t="str">
        <x:v>ea2b5caec9528865a38686c17d8149e8bf91ab4be924b1445203283601db8276</x:v>
      </x:c>
      <x:c r="O236" s="8"/>
      <x:c r="P236" s="8"/>
      <x:c r="Q236" s="8"/>
      <x:c r="R236" s="8"/>
    </x:row>
    <x:row r="237" ht="90" customHeight="1">
      <x:c r="A237" s="4" t="str">
        <x:v>P233</x:v>
      </x:c>
      <x:c r="B237" s="4" t="str">
        <x:v>Dispensador Agua 575W Caliente/Fría 220V Negro Blanco Oficina Casa | 575 W, agua caliente ≥90 °C + fría ≤15 °C, compatible con bidones 4,5 – 18,9 L, diseño compacto 24 x 24 x 36 cm</x:v>
      </x:c>
      <x:c r="C237" s="4" t="str">
        <x:v>冷热饮水机</x:v>
      </x:c>
      <x:c r="D237" s="4" t="str">
        <x:v>供给冷热饮用水</x:v>
      </x:c>
      <x:c r="E237" s="4" t="str">
        <x:v>观察</x:v>
      </x:c>
      <x:c r="F237" s="4" t="str">
        <x:v>经营边界未确认</x:v>
      </x:c>
      <x:c r="G237" s="4" t="str">
        <x:v>3217699</x:v>
      </x:c>
      <x:c r="H237" s="4" t="str">
        <x:v>Dispensador de agua caliente Tomado</x:v>
      </x:c>
      <x:c r="I237" s="4" t="str">
        <x:v>related_type</x:v>
      </x:c>
      <x:c r="J237" s="4" t="str">
        <x:v>热水分配器参照相关，但不证明制冷功能；不误用固定热水器边界</x:v>
      </x:c>
      <x:c r="K237" s="4" t="str">
        <x:v>温度与桶装水适配未核实</x:v>
      </x:c>
      <x:c r="L237" s="4" t="str">
        <x:v>https://www.amazon.es/Dispensador-Caliente-Oficina-caliente-compatible/dp/B0HGF147MH?psc=1</x:v>
      </x:c>
      <x:c r="M237" s="4" t="str">
        <x:v>B0_84bacc4c6b66_006257</x:v>
      </x:c>
      <x:c r="N237" s="4" t="str">
        <x:v>17a60438e3738e246abed9110068a5b68d9f23724dec7e9d62a640078ea00e07</x:v>
      </x:c>
      <x:c r="O237" s="8"/>
      <x:c r="P237" s="8"/>
      <x:c r="Q237" s="8"/>
      <x:c r="R237" s="8"/>
    </x:row>
    <x:row r="238" ht="90" customHeight="1">
      <x:c r="A238" s="4" t="str">
        <x:v>P234</x:v>
      </x:c>
      <x:c r="B238" s="4" t="str">
        <x:v>OSDUE Ojos de Seguridad de Colores, 752 Piezas 5-12mm Ojos de Seguridad Ojos y Nariz de Plástico con Juntas y Nariz para Manualidades, Fabricación de Muñecas y Juguetes de Ganchillo con Caja</x:v>
      </x:c>
      <x:c r="C238" s="4" t="str">
        <x:v>玩偶眼睛鼻子配件套装</x:v>
      </x:c>
      <x:c r="D238" s="4" t="str">
        <x:v>制作布偶或钩织玩具</x:v>
      </x:c>
      <x:c r="E238" s="4" t="str">
        <x:v>观察</x:v>
      </x:c>
      <x:c r="F238" s="4" t="str">
        <x:v>参照仅覆盖套装部分</x:v>
      </x:c>
      <x:c r="G238" s="4" t="str">
        <x:v>2543851</x:v>
      </x:c>
      <x:c r="H238" s="4" t="str">
        <x:v>Ojos móviles</x:v>
      </x:c>
      <x:c r="I238" s="4" t="str">
        <x:v>related_type</x:v>
      </x:c>
      <x:c r="J238" s="4" t="str">
        <x:v>活动眼睛参照只覆盖装饰眼部，鼻子及扣件和安全眼固定结构没有得到完整覆盖；参照不足以支持完整销售主体</x:v>
      </x:c>
      <x:c r="K238" s="4" t="str">
        <x:v>适龄和防脱落安全声称未核实</x:v>
      </x:c>
      <x:c r="L238" s="4" t="str">
        <x:v>https://www.amazon.es/OSDUE-Seguridad-Colores-Manualidades-Fabricaci%C3%B3n/dp/B09TW99CQ3?psc=1</x:v>
      </x:c>
      <x:c r="M238" s="4" t="str">
        <x:v>B0_84bacc4c6b66_014530</x:v>
      </x:c>
      <x:c r="N238" s="4" t="str">
        <x:v>064e508f6098ec4e5449c4015c8041eaaed1efba247e5a2eeb6ff81668845660</x:v>
      </x:c>
      <x:c r="O238" s="8"/>
      <x:c r="P238" s="8"/>
      <x:c r="Q238" s="8"/>
      <x:c r="R238" s="8"/>
    </x:row>
    <x:row r="239" ht="90" customHeight="1">
      <x:c r="A239" s="4" t="str">
        <x:v>P235</x:v>
      </x:c>
      <x:c r="B239" s="4" t="str">
        <x:v>Fischer 10 ganchos para colgar cuadros blancos con tacos de 4 mm y clip de fijación, instalación limpia en pared para marcos pesados, 567557</x:v>
      </x:c>
      <x:c r="C239" s="4" t="str">
        <x:v>带墙塞的挂画钩</x:v>
      </x:c>
      <x:c r="D239" s="4" t="str">
        <x:v>悬挂画框</x:v>
      </x:c>
      <x:c r="E239" s="4" t="str">
        <x:v>保留</x:v>
      </x:c>
      <x:c r="F239" s="4" t="str"/>
      <x:c r="G239" s="4" t="str">
        <x:v>3016588</x:v>
      </x:c>
      <x:c r="H239" s="4" t="str">
        <x:v>Juego de ganchos de pared</x:v>
      </x:c>
      <x:c r="I239" s="4" t="str">
        <x:v>related_type</x:v>
      </x:c>
      <x:c r="J239" s="4" t="str">
        <x:v>通用墙面挂钩参照与挂画用途相关，不属于大型安装系统</x:v>
      </x:c>
      <x:c r="K239" s="4" t="str">
        <x:v>墙材适配与承重未核实</x:v>
      </x:c>
      <x:c r="L239" s="4" t="str">
        <x:v>https://www.amazon.es/Fischer-567557-fijaci%C3%B3n-instalaci%C3%B3n-unidades/dp/B0CDHD3SKP?psc=1</x:v>
      </x:c>
      <x:c r="M239" s="4" t="str">
        <x:v>B0_84bacc4c6b66_007815</x:v>
      </x:c>
      <x:c r="N239" s="4" t="str">
        <x:v>c38c7f8160028402d02d5cc54c4d5446eb58638f9701b538588719ca5b6af71d</x:v>
      </x:c>
      <x:c r="O239" s="8"/>
      <x:c r="P239" s="8"/>
      <x:c r="Q239" s="8"/>
      <x:c r="R239" s="8"/>
    </x:row>
    <x:row r="240" ht="90" customHeight="1">
      <x:c r="A240" s="4" t="str">
        <x:v>P236</x:v>
      </x:c>
      <x:c r="B240" s="4" t="str">
        <x:v>ZVKACT 36 Flores Secas Prensadas – Hojas y Flores Naturales – Ideales para Velas DIY, Joyería de Resina, Nail Art y Scrapbooking – Versátiles y Creativas</x:v>
      </x:c>
      <x:c r="C240" s="4" t="str">
        <x:v>压制干花叶手工材料</x:v>
      </x:c>
      <x:c r="D240" s="4" t="str">
        <x:v>装饰树脂或纸艺作品</x:v>
      </x:c>
      <x:c r="E240" s="4" t="str">
        <x:v>保留</x:v>
      </x:c>
      <x:c r="F240" s="4" t="str"/>
      <x:c r="G240" s="4" t="str">
        <x:v>3200976</x:v>
      </x:c>
      <x:c r="H240" s="4" t="str">
        <x:v>Flores secas en vidrio</x:v>
      </x:c>
      <x:c r="I240" s="4" t="str">
        <x:v>related_type</x:v>
      </x:c>
      <x:c r="J240" s="4" t="str">
        <x:v>参照玻璃中干花与源同为干花装饰材料，但源为散装压花，供货和固定方式不同</x:v>
      </x:c>
      <x:c r="K240" s="4" t="str">
        <x:v>可接触用途和具体花种未核实</x:v>
      </x:c>
      <x:c r="L240" s="4" t="str">
        <x:v>https://www.amazon.es/ZVKACT-Flores-Secas-Prensadas-Scrapbooking/dp/B0HF7Z7BJ9?psc=1</x:v>
      </x:c>
      <x:c r="M240" s="4" t="str">
        <x:v>B0_84bacc4c6b66_022863</x:v>
      </x:c>
      <x:c r="N240" s="4" t="str">
        <x:v>649f1d97603c33e40aee5d24f36713a7bf8c9c6c59d25a434b36b21306ccfade</x:v>
      </x:c>
      <x:c r="O240" s="8"/>
      <x:c r="P240" s="8"/>
      <x:c r="Q240" s="8"/>
      <x:c r="R240" s="8"/>
    </x:row>
    <x:row r="241" ht="90" customHeight="1">
      <x:c r="A241" s="4" t="str">
        <x:v>P237</x:v>
      </x:c>
      <x:c r="B241" s="4" t="str">
        <x:v>Rowenta CT 381810, 730-870 W, 12 Unknown_Modifier, plástico, Negro</x:v>
      </x:c>
      <x:c r="C241" s="4" t="str">
        <x:v>Rowenta型号商品，主体未明</x:v>
      </x:c>
      <x:c r="D241" s="4" t="str">
        <x:v>品名未给出可验证用途</x:v>
      </x:c>
      <x:c r="E241" s="4" t="str">
        <x:v>观察</x:v>
      </x:c>
      <x:c r="F241" s="4" t="str">
        <x:v>供货或形态信息不足</x:v>
      </x:c>
      <x:c r="G241" s="4" t="str"/>
      <x:c r="H241" s="4" t="str"/>
      <x:c r="I241" s="4" t="str">
        <x:v>none</x:v>
      </x:c>
      <x:c r="J241" s="4" t="str">
        <x:v>只有型号功率和Unknown_Modifier，不能凭品牌知识猜成咖啡机</x:v>
      </x:c>
      <x:c r="K241" s="4" t="str">
        <x:v>缺具体商品名和供货形态</x:v>
      </x:c>
      <x:c r="L241" s="4" t="str">
        <x:v>https://www.amazon.es/Rowenta-CT-730-870-Unknown_Modifier-pl%C3%A1stico/dp/B008F7WGCK/ref=sr_1_3602?dib=eyJ2IjoiMSJ9.6y6GuVXYBAbEtAp1eOF8OhuyMUeVPHV945FRMYzwF6VlQWit7hrXWTTLO6ekzMbLfP_MF7WoXd93MHjybrYUhGtc7OW2ucfNM7IEcxktZYNb20XzyM8zVIC9fBnZQy3NzVKOemz3DzQgoFQ26fC8eojUGbmOoaI2GJg9GnL0R9-oirQg1hv8O2Rd5-TCUL_hz3lRZqzqfDj-fOFTX8lib6QfUJD7c9k5kQlrrZV65teIkQk-hFxcoJR2rkqRhu5m2zglrFcr2FxaBtHOUg1EaAYcMcEfa_lUIkHYqd2QMdA.4aEiACXGjUyeAyrK2ImWH6tiCh4wbWOyUXeyN48zUSI&amp;dib_tag=se&amp;qid=1792600081&amp;s=kitchen&amp;sr=1-3602&amp;srs=88626813031&amp;xpid=CeuYXw3Vdr0Bg</x:v>
      </x:c>
      <x:c r="M241" s="4" t="str">
        <x:v>B0_84bacc4c6b66_017437</x:v>
      </x:c>
      <x:c r="N241" s="4" t="str">
        <x:v>5f2e71c070f9a8fd2201d3a7dff5cb00d55847fae10ef54d783924892c8a630e</x:v>
      </x:c>
      <x:c r="O241" s="8"/>
      <x:c r="P241" s="8"/>
      <x:c r="Q241" s="8"/>
      <x:c r="R241" s="8"/>
    </x:row>
    <x:row r="242" ht="90" customHeight="1">
      <x:c r="A242" s="4" t="str">
        <x:v>P238</x:v>
      </x:c>
      <x:c r="B242" s="4" t="str">
        <x:v>Electraline 70058 Adaptador de Viaje UK a Tus enchufes de Francia/Europa, Blanco</x:v>
      </x:c>
      <x:c r="C242" s="4" t="str">
        <x:v>旅行插头转换器</x:v>
      </x:c>
      <x:c r="D242" s="4" t="str">
        <x:v>适配不同地区插座</x:v>
      </x:c>
      <x:c r="E242" s="4" t="str">
        <x:v>保留</x:v>
      </x:c>
      <x:c r="F242" s="4" t="str"/>
      <x:c r="G242" s="4" t="str">
        <x:v>3225515</x:v>
      </x:c>
      <x:c r="H242" s="4" t="str">
        <x:v>Adaptador de viaje Spilbergen</x:v>
      </x:c>
      <x:c r="I242" s="4" t="str">
        <x:v>same_type</x:v>
      </x:c>
      <x:c r="J242" s="4" t="str">
        <x:v>参照旅行转换器同类，插头转换不推定电压转换</x:v>
      </x:c>
      <x:c r="K242" s="4" t="str">
        <x:v>插头方向、额定电流和安全认证未核实</x:v>
      </x:c>
      <x:c r="L242" s="4" t="str">
        <x:v>https://www.amazon.es/Electraline-70058-Adaptador-enchufes-Francia/dp/B07L8MBX44?psc=1</x:v>
      </x:c>
      <x:c r="M242" s="4" t="str">
        <x:v>B0_84bacc4c6b66_006854</x:v>
      </x:c>
      <x:c r="N242" s="4" t="str">
        <x:v>68f4794777bed80c7f26c0f04a1bd36f7881cd76c2eb6c4c0fc5f24cd6c21769</x:v>
      </x:c>
      <x:c r="O242" s="8"/>
      <x:c r="P242" s="8"/>
      <x:c r="Q242" s="8"/>
      <x:c r="R242" s="8"/>
    </x:row>
    <x:row r="243" ht="90" customHeight="1">
      <x:c r="A243" s="4" t="str">
        <x:v>P239</x:v>
      </x:c>
      <x:c r="B243" s="4" t="str">
        <x:v>Intex 64124 Colchón Hinchable Dura-Beam Standard Pillow Rest, 152 x 203 x 42 cm</x:v>
      </x:c>
      <x:c r="C243" s="4" t="str">
        <x:v>充气床垫</x:v>
      </x:c>
      <x:c r="D243" s="4" t="str">
        <x:v>临时睡眠铺垫</x:v>
      </x:c>
      <x:c r="E243" s="4" t="str">
        <x:v>保留</x:v>
      </x:c>
      <x:c r="F243" s="4" t="str"/>
      <x:c r="G243" s="4" t="str">
        <x:v>3016204</x:v>
      </x:c>
      <x:c r="H243" s="4" t="str">
        <x:v>Colchón hinchable</x:v>
      </x:c>
      <x:c r="I243" s="4" t="str">
        <x:v>same_type</x:v>
      </x:c>
      <x:c r="J243" s="4" t="str">
        <x:v>原文明确充气床垫，与参照同类；不把充气结构当固定成套家具</x:v>
      </x:c>
      <x:c r="K243" s="4" t="str">
        <x:v>承载、漏气和是否含泵未核实</x:v>
      </x:c>
      <x:c r="L243" s="4" t="str">
        <x:v>https://www.amazon.es/Intex-Colch%C3%B3n-Hinchable-tecnolog%C3%ADa-inflado/dp/B0B8PBXCHJ/ref=sr_1_540?dib=eyJ2IjoiMSJ9.toWT7Was53BTjEn1sz8pc8sqJSX26sA55uII6n5yM6liIsJaHwUnqCdKiRHFrH3xBcuePXW9o5DoM-Gto4wzsqp7I2iJOdlfYOx1MTfoM5S4C8pzx5aZHNmfZ_iOySch4RcVMaUGaklMTOK3i4yoESfSJQdVVyxFsybInk_dkbkN9bPnVPP58QzCCSFh7cvsJa6-zR7Vlcw50pFy5YnpSiJPktZbZTx0vfVIIGhwtOrBKbdA_WeaNp5PTegsh8WbeB4-I26wvIS6VY67k5qIGbruyi_fyI_kyjcFPDoPlQ8.Hn9GiYNaZlljqxYk6rxM7spBJfE_74waT2QkZdagr-I&amp;dib_tag=se&amp;qid=1792597097&amp;s=kitchen&amp;sr=1-540&amp;srs=88626813031&amp;xpid=CeuYXw3Vdr0Bg</x:v>
      </x:c>
      <x:c r="M243" s="4" t="str">
        <x:v>B0_84bacc4c6b66_010430</x:v>
      </x:c>
      <x:c r="N243" s="4" t="str">
        <x:v>10ea34f1ea533cb6a461a2207c854389c21ec034f5fcd748e8f7d39fe8c561f6</x:v>
      </x:c>
      <x:c r="O243" s="8"/>
      <x:c r="P243" s="8"/>
      <x:c r="Q243" s="8"/>
      <x:c r="R243" s="8"/>
    </x:row>
    <x:row r="244" ht="90" customHeight="1">
      <x:c r="A244" s="4" t="str">
        <x:v>P240</x:v>
      </x:c>
      <x:c r="B244" s="4" t="str">
        <x:v>Starbucks Juego de vasos reutilizables para bebidas heladas de 25 onzas líquidas con mangas</x:v>
      </x:c>
      <x:c r="C244" s="4" t="str">
        <x:v>可重复使用冷饮杯配杯套</x:v>
      </x:c>
      <x:c r="D244" s="4" t="str">
        <x:v>盛装和握持冷饮</x:v>
      </x:c>
      <x:c r="E244" s="4" t="str">
        <x:v>观察</x:v>
      </x:c>
      <x:c r="F244" s="4" t="str">
        <x:v>参照仅覆盖套装部分</x:v>
      </x:c>
      <x:c r="G244" s="4" t="str">
        <x:v>3219915</x:v>
      </x:c>
      <x:c r="H244" s="4" t="str">
        <x:v>Vasos reutilizables</x:v>
      </x:c>
      <x:c r="I244" s="4" t="str">
        <x:v>related_type</x:v>
      </x:c>
      <x:c r="J244" s="4" t="str">
        <x:v>杯具参照有效，杯套未获完整组合参照，保持套装覆盖提示；参照不足以支持完整销售主体</x:v>
      </x:c>
      <x:c r="K244" s="4" t="str">
        <x:v>杯数和杯套材质未说明</x:v>
      </x:c>
      <x:c r="L244" s="4" t="str">
        <x:v>https://www.amazon.es/Starbucks-reutilizables-bebidas-esmerilado-mangas/dp/B07D6GC1G1/ref=sr_1_3650?dib=eyJ2IjoiMSJ9.JpSa0lIbHYHVpfOctegCCLwB87aGsmIK2SA45blcr9bk8hkRh4vZbHoNH_HL5ooHREdaXUayTQC2jiYj1XW8QdfHCjWCBgWJvA5sgGH69pkyxyikAowTgAI-pnOB_AGL-VYC1GAICKuuWyXo5MSDZOJPY6Ii8ZTzGR-uU4rQB0pArRdXysuo2Cttku2skjYMIawW9MOa5IWHk7FGBtHsGD9LpZCOFC834WxnXbLC04b9pfKw3_vKkuBqJvVFKd-llpgQd908Bem9xtQUh3oh1qPBNpl526rdFU79CmtEeUs.3LgqEv-i5G3NynF9gy-IsLmPIGY_cgB0_cu3J3A9ISM&amp;dib_tag=se&amp;qid=1792600140&amp;s=kitchen&amp;sr=1-3650&amp;srs=88626813031&amp;xpid=CeuYXw3Vdr0Bg</x:v>
      </x:c>
      <x:c r="M244" s="4" t="str">
        <x:v>B0_84bacc4c6b66_019060</x:v>
      </x:c>
      <x:c r="N244" s="4" t="str">
        <x:v>ab19d3d288b2813203625af7b66850819a72c92a26a90aee3bedef0434c8357f</x:v>
      </x:c>
      <x:c r="O244" s="8"/>
      <x:c r="P244" s="8"/>
      <x:c r="Q244" s="8"/>
      <x:c r="R244" s="8"/>
    </x:row>
    <x:row r="245" ht="90" customHeight="1">
      <x:c r="A245" s="4" t="str">
        <x:v>P241</x:v>
      </x:c>
      <x:c r="B245" s="4" t="str">
        <x:v>ZWILLING SPICES Mortero con mano, granito, 15 cm, negro-plata</x:v>
      </x:c>
      <x:c r="C245" s="4" t="str">
        <x:v>花岗岩研钵研杵</x:v>
      </x:c>
      <x:c r="D245" s="4" t="str">
        <x:v>研磨香料或少量食材</x:v>
      </x:c>
      <x:c r="E245" s="4" t="str">
        <x:v>保留</x:v>
      </x:c>
      <x:c r="F245" s="4" t="str"/>
      <x:c r="G245" s="4" t="str">
        <x:v>3215972</x:v>
      </x:c>
      <x:c r="H245" s="4" t="str">
        <x:v>Mortero y pistilo</x:v>
      </x:c>
      <x:c r="I245" s="4" t="str">
        <x:v>same_type</x:v>
      </x:c>
      <x:c r="J245" s="4" t="str">
        <x:v>Mortero con mano指研钵和杵，不能把mano独立匹配护手霜</x:v>
      </x:c>
      <x:c r="K245" s="4" t="str">
        <x:v>食品接触与研磨效果未核实</x:v>
      </x:c>
      <x:c r="L245" s="4" t="str">
        <x:v>https://www.amazon.es/ZWILLING-SPICES-Mortero-granito-negro-plata/dp/B00P2IGA36/ref=sr_1_2908_mod_primary_new?dib=eyJ2IjoiMSJ9.JqbqlLNjAYkGOHuUUpBddI1sP0QwLTVvxz9ps_WLQWzk946htSXaf0TIJyvyRYKN9POa79rRygcBJ_gJsK7GC1sNaI_yfu2onCwGZ6cZcnGoV-X8rirsSpU1lzptiwiXnT4MaZf0ZK7cK-EGA5yIVNiaUST_lOdup1RgrZwk3LSYpnHi4zKCJPlQ9Ar4fb1d14MsDHwfiDFdJ2SmB-wgbvyS1Sc0cb7Y8Bvp7S26bQMoJoNPPTfk9DTHQAJhrRjVjOC7xH9ZMtBfMNsIfRclrl8p4i4HUywytBD36I9fbuc.Zkh2ifnlSdWoQZ_E9xMwXJKf1s4IVc8b4LEzOYQn_4M&amp;dib_tag=se&amp;qid=1792599250&amp;s=kitchen&amp;sbo=RZvfv%2F%2FHxDF%2BO5021pAnSA%3D%3D&amp;sr=1-2908&amp;srs=88626813031&amp;xpid=CeuYXw3Vdr0Bg</x:v>
      </x:c>
      <x:c r="M245" s="4" t="str">
        <x:v>B0_84bacc4c6b66_022883</x:v>
      </x:c>
      <x:c r="N245" s="4" t="str">
        <x:v>ca81e11516da919cebe5cdf734dc2ad018ef2b8eeb71ae3e69edee00acdeec3f</x:v>
      </x:c>
      <x:c r="O245" s="8"/>
      <x:c r="P245" s="8"/>
      <x:c r="Q245" s="8"/>
      <x:c r="R245" s="8"/>
    </x:row>
    <x:row r="246" ht="90" customHeight="1">
      <x:c r="A246" s="4" t="str">
        <x:v>P242</x:v>
      </x:c>
      <x:c r="B246" s="4" t="str">
        <x:v>Cecotec Freidora Eléctrica de aceite CleanFry Advance 1500 Inox. 900 W, Capacidad 1,5 L, Acero Inoxidable, Filtro OilClean, Cubeta Extraible, Tapa con Ventana</x:v>
      </x:c>
      <x:c r="C246" s="4" t="str">
        <x:v>电油炸锅</x:v>
      </x:c>
      <x:c r="D246" s="4" t="str">
        <x:v>油炸食物</x:v>
      </x:c>
      <x:c r="E246" s="4" t="str">
        <x:v>观察</x:v>
      </x:c>
      <x:c r="F246" s="4" t="str">
        <x:v>经营边界未确认</x:v>
      </x:c>
      <x:c r="G246" s="4" t="str"/>
      <x:c r="H246" s="4" t="str"/>
      <x:c r="I246" s="4" t="str">
        <x:v>none</x:v>
      </x:c>
      <x:c r="J246" s="4" t="str">
        <x:v>原文是油炸设备，与空气炸锅机制不同，钢材首饰候选无效</x:v>
      </x:c>
      <x:c r="K246" s="4" t="str">
        <x:v>油温控制和过滤性能未核实</x:v>
      </x:c>
      <x:c r="L246" s="4" t="str">
        <x:v>https://www.amazon.es/Cecotec-El%C3%A9ctrica-Capacidad-Inoxidable-Extraible/dp/B09CQ712Q6/ref=sr_1_1005?dib=eyJ2IjoiMSJ9.aPAv336_LiKSAj6bLwkYCEFSzhn2Bht2Jrzm9cO6TCED0VZ2cir28MAHzrFkYaXAaxLIenTn4rjcvEiz4omp15kY3erVW-CXnPMfFjQiI4NLOCuCTnZftoPSDiBxHFij8kZjhM6o76BoVvCmiy4W6QdfpD77q3So3rOdbiV0Q8tg68VZuh4K2_-g1FfPWfpDjIbw6h2IqYje998gKmQrWNhZGXpQcGxBNE8y6xZrclU_DaNhuEwASS8bOzZelnzU65WS6RHvcO3SiXkBeDdeHJVmdRQ3wx-Xsz8BO2wwn-g.25UAFgaum8_8Ml4XRu9mxxbIwDmRW_miJPNhF_VAgsI&amp;dib_tag=se&amp;qid=1792649662&amp;s=kitchen&amp;sr=1-1005&amp;srs=88626813031&amp;xpid=qpnO31ULD-dQ4</x:v>
      </x:c>
      <x:c r="M246" s="4" t="str">
        <x:v>B0_84bacc4c6b66_004360</x:v>
      </x:c>
      <x:c r="N246" s="4" t="str">
        <x:v>65efd79ecee476b178c0cd97c382fdc38a17166002a94753718df369dea3df81</x:v>
      </x:c>
      <x:c r="O246" s="8"/>
      <x:c r="P246" s="8"/>
      <x:c r="Q246" s="8"/>
      <x:c r="R246" s="8"/>
    </x:row>
    <x:row r="247" ht="90" customHeight="1">
      <x:c r="A247" s="4" t="str">
        <x:v>P243</x:v>
      </x:c>
      <x:c r="B247" s="4" t="str">
        <x:v>2X5L Bioetanol Terraflam para lámparas y chimeneas color transparente Combustión de alta calidad, no humos ni olores</x:v>
      </x:c>
      <x:c r="C247" s="4" t="str">
        <x:v>灯具及壁炉用生物乙醇燃料</x:v>
      </x:c>
      <x:c r="D247" s="4" t="str">
        <x:v>为适配燃烧器提供燃料</x:v>
      </x:c>
      <x:c r="E247" s="4" t="str">
        <x:v>观察</x:v>
      </x:c>
      <x:c r="F247" s="4" t="str">
        <x:v>经营边界未确认</x:v>
      </x:c>
      <x:c r="G247" s="4" t="str"/>
      <x:c r="H247" s="4" t="str"/>
      <x:c r="I247" s="4" t="str">
        <x:v>none</x:v>
      </x:c>
      <x:c r="J247" s="4" t="str">
        <x:v>燃料不是灯具，灯具参照不能决定燃料经营范围</x:v>
      </x:c>
      <x:c r="K247" s="4" t="str">
        <x:v>无烟无味和安全适配未核实</x:v>
      </x:c>
      <x:c r="L247" s="4" t="str">
        <x:v>https://www.amazon.es/Bioetanol-Terraflam-chimeneas-transparente-Combusti%C3%B3n/dp/B079C6LMXX?psc=1</x:v>
      </x:c>
      <x:c r="M247" s="4" t="str">
        <x:v>B0_84bacc4c6b66_002865</x:v>
      </x:c>
      <x:c r="N247" s="4" t="str">
        <x:v>92ea926f17c95304a57f5dee14f48fb0dbbf545f36184f823a37e10922dc524c</x:v>
      </x:c>
      <x:c r="O247" s="8"/>
      <x:c r="P247" s="8"/>
      <x:c r="Q247" s="8"/>
      <x:c r="R247" s="8"/>
    </x:row>
    <x:row r="248" ht="90" customHeight="1">
      <x:c r="A248" s="4" t="str">
        <x:v>P244</x:v>
      </x:c>
      <x:c r="B248" s="4" t="str">
        <x:v>ZETKUS 4 Piezas Agujas Crochet, Agujas de Ganchillo con ErgonóMico Suave Antideslizante Mangos De Silicona, Juego Aguja Tejer Crochet, Kit Conjunto Agujas de Ganchillos (2.0/2.5/3.0/3.5mm)</x:v>
      </x:c>
      <x:c r="C248" s="4" t="str">
        <x:v>带握柄钩针套装</x:v>
      </x:c>
      <x:c r="D248" s="4" t="str">
        <x:v>钩织手工作品</x:v>
      </x:c>
      <x:c r="E248" s="4" t="str">
        <x:v>保留</x:v>
      </x:c>
      <x:c r="F248" s="4" t="str"/>
      <x:c r="G248" s="4" t="str">
        <x:v>3202114</x:v>
      </x:c>
      <x:c r="H248" s="4" t="str">
        <x:v>Agujas de ganchillo</x:v>
      </x:c>
      <x:c r="I248" s="4" t="str">
        <x:v>same_type</x:v>
      </x:c>
      <x:c r="J248" s="4" t="str">
        <x:v>参照同为钩针，套内针径变化不改变主体</x:v>
      </x:c>
      <x:c r="K248" s="4" t="str">
        <x:v>握柄材质与针径未独立核实</x:v>
      </x:c>
      <x:c r="L248" s="4" t="str">
        <x:v>https://www.amazon.es/ZETKUS-Ganchillo-Ergon%C3%B3Mico-Antideslizante-Ganchillos/dp/B0HH8P9X8D?psc=1</x:v>
      </x:c>
      <x:c r="M248" s="4" t="str">
        <x:v>B0_84bacc4c6b66_022794</x:v>
      </x:c>
      <x:c r="N248" s="4" t="str">
        <x:v>98795c3e0ba06814c84926ac70ad12846150cc6e3028a0d6b30907618e06877c</x:v>
      </x:c>
      <x:c r="O248" s="8"/>
      <x:c r="P248" s="8"/>
      <x:c r="Q248" s="8"/>
      <x:c r="R248" s="8"/>
    </x:row>
    <x:row r="249" ht="90" customHeight="1">
      <x:c r="A249" s="4" t="str">
        <x:v>P245</x:v>
      </x:c>
      <x:c r="B249" s="4" t="str">
        <x:v>Stölzle Lausitz - Copas para vino tinto Quatrophil, de 568 ml, parecen sopladas artesanalmente, aptas para lavavajillas</x:v>
      </x:c>
      <x:c r="C249" s="4" t="str">
        <x:v>红酒杯</x:v>
      </x:c>
      <x:c r="D249" s="4" t="str">
        <x:v>盛饮红葡萄酒</x:v>
      </x:c>
      <x:c r="E249" s="4" t="str">
        <x:v>保留</x:v>
      </x:c>
      <x:c r="F249" s="4" t="str"/>
      <x:c r="G249" s="4" t="str">
        <x:v>3206524</x:v>
      </x:c>
      <x:c r="H249" s="4" t="str">
        <x:v>Copas de vino</x:v>
      </x:c>
      <x:c r="I249" s="4" t="str">
        <x:v>same_type</x:v>
      </x:c>
      <x:c r="J249" s="4" t="str">
        <x:v>参照葡萄酒杯同类，似手工吹制不等于证实手工制作</x:v>
      </x:c>
      <x:c r="K249" s="4" t="str">
        <x:v>洗碗机适用性未核实</x:v>
      </x:c>
      <x:c r="L249" s="4" t="str">
        <x:v>https://www.amazon.es/St%C3%B6lzle-Lausitz-Quatrophil-artesanalmente-lavavajillas/dp/B0088LZ7R4/ref=sr_1_4146?dib=eyJ2IjoiMSJ9.P32wWu2hXDRI7HfQmbwgjcCubfkVfzuBr9lRngJ-Y35F1Q9xknRdDTB24aXczqPcylvZidp1c91t9musptzonLBsP5SdEPEei2Vqo2uitzUw4cFW0Vw5uztjw9MnjKVO8uoZLkqPC4RetvbRztaEQqWsg6K3FqWCSxcIzJOZGbzlRrbiWvSmZlBb7IlW7KkVtj2b8NAZMn3r8JTAopz_ekOOhDoWHVT34vOYhTxEz71muOuxzW3aCPiVOK8GUkFJ8b4Hg6sUqiKAi3ihKneFdcZ6jbmBRSOfLPgYvNEsUxY.Z8M4qbahMQLS3s7qyHt2AYvAP-uI3lkic2U7V-hnKrY&amp;dib_tag=se&amp;qid=1792653144&amp;s=kitchen&amp;sr=1-4146&amp;srs=88626813031&amp;xpid=qpnO31ULD-dQ4</x:v>
      </x:c>
      <x:c r="M249" s="4" t="str">
        <x:v>B0_84bacc4c6b66_019006</x:v>
      </x:c>
      <x:c r="N249" s="4" t="str">
        <x:v>301c6c63e013ac6f7495c055e7cef73d0f624c3e175c7299d3a945e8d95a086c</x:v>
      </x:c>
      <x:c r="O249" s="8"/>
      <x:c r="P249" s="8"/>
      <x:c r="Q249" s="8"/>
      <x:c r="R249" s="8"/>
    </x:row>
    <x:row r="250" ht="90" customHeight="1">
      <x:c r="A250" s="4" t="str">
        <x:v>P246</x:v>
      </x:c>
      <x:c r="B250" s="4" t="str">
        <x:v>41 PCS Cortadores De Galletas Letras,HMCEY Moldes Para Galletas Reposteria | Cortadores De Fondan Alfabeto Reutilizable,Cookie Cutter,Con Números, Letras Y Símbolos Matemáticos,Para Tartas, Azúcar</x:v>
      </x:c>
      <x:c r="C250" s="4" t="str">
        <x:v>字母数字饼干切模套装</x:v>
      </x:c>
      <x:c r="D250" s="4" t="str">
        <x:v>切出装饰烘焙面团形状</x:v>
      </x:c>
      <x:c r="E250" s="4" t="str">
        <x:v>保留</x:v>
      </x:c>
      <x:c r="F250" s="4" t="str"/>
      <x:c r="G250" s="4" t="str">
        <x:v>3219352</x:v>
      </x:c>
      <x:c r="H250" s="4" t="str">
        <x:v>Prensa de galletas</x:v>
      </x:c>
      <x:c r="I250" s="4" t="str">
        <x:v>related_type</x:v>
      </x:c>
      <x:c r="J250" s="4" t="str">
        <x:v>饼干压模器与切模均为成型面团工具，但机构不同；参照不是饼干食品</x:v>
      </x:c>
      <x:c r="K250" s="4" t="str">
        <x:v>适用食材与材质未核实</x:v>
      </x:c>
      <x:c r="L250" s="4" t="str">
        <x:v>https://www.amazon.es/Cortadores-HMCEY-Reposteria-Reutilizable-Matem%C3%A1ticos/dp/B0HFG4LPNJ?psc=1</x:v>
      </x:c>
      <x:c r="M250" s="4" t="str">
        <x:v>B0_84bacc4c6b66_005124</x:v>
      </x:c>
      <x:c r="N250" s="4" t="str">
        <x:v>c5a83b02bea0b9c16bb0dea95ddee16465aa1c682112a7c44ea2ad86d2050104</x:v>
      </x:c>
      <x:c r="O250" s="8"/>
      <x:c r="P250" s="8"/>
      <x:c r="Q250" s="8"/>
      <x:c r="R250" s="8"/>
    </x:row>
    <x:row r="251" ht="90" customHeight="1">
      <x:c r="A251" s="4" t="str">
        <x:v>P247</x:v>
      </x:c>
      <x:c r="B251" s="4" t="str">
        <x:v>Bosch - Cafetera de Goteo, Jarra de Cristal Ergonómica, Depósito de Agua Extraible, Filtro Extraible, Apagado Automático, Anti Goteo, Blanco, TKA2M111</x:v>
      </x:c>
      <x:c r="C251" s="4" t="str">
        <x:v>滴滤咖啡机</x:v>
      </x:c>
      <x:c r="D251" s="4" t="str">
        <x:v>自动冲泡过滤咖啡</x:v>
      </x:c>
      <x:c r="E251" s="4" t="str">
        <x:v>观察</x:v>
      </x:c>
      <x:c r="F251" s="4" t="str">
        <x:v>经营边界未确认</x:v>
      </x:c>
      <x:c r="G251" s="4" t="str">
        <x:v>3201736</x:v>
      </x:c>
      <x:c r="H251" s="4" t="str">
        <x:v>Cafetera Tomado Superior</x:v>
      </x:c>
      <x:c r="I251" s="4" t="str">
        <x:v>related_type</x:v>
      </x:c>
      <x:c r="J251" s="4" t="str">
        <x:v>咖啡机参照相关，水箱和滤器是结构而非销售主体</x:v>
      </x:c>
      <x:c r="K251" s="4" t="str">
        <x:v>滤器规格、停机和防滴漏未核实</x:v>
      </x:c>
      <x:c r="L251" s="4" t="str">
        <x:v>https://www.amazon.es/Bosch-Cafetera-Ergon%C3%B3mica-Extraible-Autom%C3%A1tico/dp/B0CF2RW1XK/ref=sr_1_1077?dib=eyJ2IjoiMSJ9.iWcDBYC3AKcMhV4awH6qjiPtfH72ChDs_Cb2OdBur7_e9oQtoA_PvJhdIiPh5R3BUHLluvxzD6iir3OSOCT3wBB9PpJa8t6X4WobgS0UuUwcPquJacLNyvuxFkk2mD5oGX8IHndHnO_WcGRlxU3exrTTeHrN4lZpd-k2czqEfhsOl74l0_ZE6JnVecsluyAJCHlwMNIlq63zgu2bljHRwhox2AjPdFwqTYbHI2MzVab8vrY1-j9ymjtQz9AhLFBgiAc3xZb37IkaiQgL1PkFPAYe4mYkSwAB9cCarFQMaxE.b8KjcAygA1vpRfGDwDKjFVW-oZtXpAnSRE19RG1_EwE&amp;dib_tag=se&amp;qid=1792649713&amp;s=kitchen&amp;sr=1-1077&amp;srs=88626813031&amp;xpid=qpnO31ULD-dQ4</x:v>
      </x:c>
      <x:c r="M251" s="4" t="str">
        <x:v>B0_84bacc4c6b66_003210</x:v>
      </x:c>
      <x:c r="N251" s="4" t="str">
        <x:v>d2e5f57c3d1ea32de395499890246515a4d8d6a3d11ff388afe857db1b64f186</x:v>
      </x:c>
      <x:c r="O251" s="8"/>
      <x:c r="P251" s="8"/>
      <x:c r="Q251" s="8"/>
      <x:c r="R251" s="8"/>
    </x:row>
    <x:row r="252" ht="90" customHeight="1">
      <x:c r="A252" s="4" t="str">
        <x:v>P248</x:v>
      </x:c>
      <x:c r="B252" s="4" t="str">
        <x:v>FAMATEL – Clavija 4,8mm I PVC goma I TT I 16A I 250V I Negro</x:v>
      </x:c>
      <x:c r="C252" s="4" t="str">
        <x:v>电源插头连接件</x:v>
      </x:c>
      <x:c r="D252" s="4" t="str">
        <x:v>连接电源线与插座</x:v>
      </x:c>
      <x:c r="E252" s="4" t="str">
        <x:v>观察</x:v>
      </x:c>
      <x:c r="F252" s="4" t="str">
        <x:v>专用或安装配件</x:v>
      </x:c>
      <x:c r="G252" s="4" t="str"/>
      <x:c r="H252" s="4" t="str"/>
      <x:c r="I252" s="4" t="str">
        <x:v>none</x:v>
      </x:c>
      <x:c r="J252" s="4" t="str">
        <x:v>电流电压和接地信息支持电源插头身份，不是橡皮筋；接线组件需适配</x:v>
      </x:c>
      <x:c r="K252" s="4" t="str">
        <x:v>接线方式和认证未核实</x:v>
      </x:c>
      <x:c r="L252" s="4" t="str">
        <x:v>https://www.amazon.es/Famatel-M111772-Clavija-bipolar-negro/dp/B00K7Y6C7O?psc=1</x:v>
      </x:c>
      <x:c r="M252" s="4" t="str">
        <x:v>B0_84bacc4c6b66_007659</x:v>
      </x:c>
      <x:c r="N252" s="4" t="str">
        <x:v>9b94c0f5aab45cac32b9b141ef7f4bedc27bed15894ae7a6fee40b9421db5d7f</x:v>
      </x:c>
      <x:c r="O252" s="8"/>
      <x:c r="P252" s="8"/>
      <x:c r="Q252" s="8"/>
      <x:c r="R252" s="8"/>
    </x:row>
    <x:row r="253" ht="90" customHeight="1">
      <x:c r="A253" s="4" t="str">
        <x:v>P249</x:v>
      </x:c>
      <x:c r="B253" s="4" t="str">
        <x:v>JOREST 117 en 1 set de Destornilladores de Precisión Magnéticos Profesionales, Kit de Reparación Portátil con Torx T5 T6 T8 T9, para Macbook, PC,Switch, PS4, PS5, Gafas, Relojes, Laptop, Xbox</x:v>
      </x:c>
      <x:c r="C253" s="4" t="str">
        <x:v>精密螺丝刀维修套装</x:v>
      </x:c>
      <x:c r="D253" s="4" t="str">
        <x:v>拆装小型设备螺丝</x:v>
      </x:c>
      <x:c r="E253" s="4" t="str">
        <x:v>保留</x:v>
      </x:c>
      <x:c r="F253" s="4" t="str"/>
      <x:c r="G253" s="4" t="str">
        <x:v>3221622</x:v>
      </x:c>
      <x:c r="H253" s="4" t="str">
        <x:v>Juego de destornilladores de precisión</x:v>
      </x:c>
      <x:c r="I253" s="4" t="str">
        <x:v>same_type</x:v>
      </x:c>
      <x:c r="J253" s="4" t="str">
        <x:v>参照为精密螺丝刀套装，专业形容词不等于工业整机</x:v>
      </x:c>
      <x:c r="K253" s="4" t="str">
        <x:v>117件清单及批头适配未核实</x:v>
      </x:c>
      <x:c r="L253" s="4" t="str">
        <x:v>https://www.amazon.es/Destornilladores-Precisi%C3%B3n-Magn%C3%A9ticos-Profesionales-Reparaci%C3%B3n/dp/B0DSJCSB48?psc=1</x:v>
      </x:c>
      <x:c r="M253" s="4" t="str">
        <x:v>B0_84bacc4c6b66_006127</x:v>
      </x:c>
      <x:c r="N253" s="4" t="str">
        <x:v>6272612e92a55416cfd1a62c39c062be02d07f38718c4d1e16690456ec1f94d3</x:v>
      </x:c>
      <x:c r="O253" s="8"/>
      <x:c r="P253" s="8"/>
      <x:c r="Q253" s="8"/>
      <x:c r="R253" s="8"/>
    </x:row>
    <x:row r="254" ht="90" customHeight="1">
      <x:c r="A254" s="4" t="str">
        <x:v>P250</x:v>
      </x:c>
      <x:c r="B254" s="4" t="str">
        <x:v>Ufesa PR1000 Fuji Parilla Eléctrica, Panini Press Grill, 1000W, Placas Antiadherentes, Apertura 180º, Asa Toque Frio, Color Rojo</x:v>
      </x:c>
      <x:c r="C254" s="4" t="str">
        <x:v>电动帕尼尼接触烤炉</x:v>
      </x:c>
      <x:c r="D254" s="4" t="str">
        <x:v>夹烤面包和食物</x:v>
      </x:c>
      <x:c r="E254" s="4" t="str">
        <x:v>观察</x:v>
      </x:c>
      <x:c r="F254" s="4" t="str">
        <x:v>经营边界未确认</x:v>
      </x:c>
      <x:c r="G254" s="4" t="str">
        <x:v>3217689</x:v>
      </x:c>
      <x:c r="H254" s="4" t="str">
        <x:v>Parrilla para panini Tomado Superior</x:v>
      </x:c>
      <x:c r="I254" s="4" t="str">
        <x:v>same_type</x:v>
      </x:c>
      <x:c r="J254" s="4" t="str">
        <x:v>参照帕尼尼烤炉同类；电气连接件不是主体</x:v>
      </x:c>
      <x:c r="K254" s="4" t="str">
        <x:v>温控、涂层和开合性能未核实</x:v>
      </x:c>
      <x:c r="L254" s="4" t="str">
        <x:v>https://www.amazon.es/Ufesa-PR1000-Fuji-El%C3%A9ctrica-Antiadherentes/dp/B09G6WMRDZ/ref=sr_1_906?dib=eyJ2IjoiMSJ9.beos6UHzGfY4Xjh6Wh9bVbnAm1AXqneQ2Iins8JQOIhUHFGn5CWjoCnMxNvuYSPNKD051YoBZ4ldV-N0AkuejJ90QeCW5OhG1BMRvddLMT4qlhbJyXYUsDaKyDqKI_j4UQhFkWysyxv37HWIGX2UdztZuYjiLFCgCraYJMSrj9y1ijHEPlqKczwevBpo6Wxw-qDeD896ikhrMEO27Y8Dw8YLrLuOyORCxvxmnzvjCkAGh3t-TBEWTeHeZURm85zzhO4H_5lUipmChQpmsmthiOBDxWbH7B4zJ2Y-Cq2_Ksc.hng9-SGGXtkDaW1ejmbSARC5k1MY1T957pPzUQChLIQ&amp;dib_tag=se&amp;qid=1792649590&amp;s=kitchen&amp;sr=1-906&amp;srs=88626813031&amp;xpid=qpnO31ULD-dQ4</x:v>
      </x:c>
      <x:c r="M254" s="4" t="str">
        <x:v>B0_84bacc4c6b66_020586</x:v>
      </x:c>
      <x:c r="N254" s="4" t="str">
        <x:v>18073fd3d14caa2bc2d0fc899626b358313c4fcd000dedd95bfbb9a90428273f</x:v>
      </x:c>
      <x:c r="O254" s="8"/>
      <x:c r="P254" s="8"/>
      <x:c r="Q254" s="8"/>
      <x:c r="R254" s="8"/>
    </x:row>
    <x:row r="255" ht="90" customHeight="1">
      <x:c r="A255" s="4" t="str">
        <x:v>P251</x:v>
      </x:c>
      <x:c r="B255" s="4" t="str">
        <x:v>Funky Gift Mafalda Toalla de Playa Licencia Oficial 150 x 70 cm Poliéster | Licencia Oficial Mafalda, Incluye Bolsa de Tela, Modelo Playa, 70 x 150 cm</x:v>
      </x:c>
      <x:c r="C255" s="4" t="str">
        <x:v>Mafalda图案沙滩巾配布袋</x:v>
      </x:c>
      <x:c r="D255" s="4" t="str">
        <x:v>擦拭或铺垫沙滩休息</x:v>
      </x:c>
      <x:c r="E255" s="4" t="str">
        <x:v>保留</x:v>
      </x:c>
      <x:c r="F255" s="4" t="str"/>
      <x:c r="G255" s="4" t="str">
        <x:v>3222288</x:v>
      </x:c>
      <x:c r="H255" s="4" t="str">
        <x:v>Toalla y bolsa de playa 2 en 1</x:v>
      </x:c>
      <x:c r="I255" s="4" t="str">
        <x:v>related_type</x:v>
      </x:c>
      <x:c r="J255" s="4" t="str">
        <x:v>参照明确沙滩巾和袋组合，可覆盖源套装主体；不证明相同角色授权</x:v>
      </x:c>
      <x:c r="K255" s="4" t="str">
        <x:v>授权和织物性能未核实</x:v>
      </x:c>
      <x:c r="L255" s="4" t="str">
        <x:v>https://www.amazon.es/Funky-Gift-Playa-Licencia-Poli%C3%A9ster/dp/B0HFBSKNCK?psc=1</x:v>
      </x:c>
      <x:c r="M255" s="4" t="str">
        <x:v>B0_84bacc4c6b66_008074</x:v>
      </x:c>
      <x:c r="N255" s="4" t="str">
        <x:v>b757c934f45e27436741b7078a515636138443f95528f5528fac26d835fe5d34</x:v>
      </x:c>
      <x:c r="O255" s="8"/>
      <x:c r="P255" s="8"/>
      <x:c r="Q255" s="8"/>
      <x:c r="R255" s="8"/>
    </x:row>
    <x:row r="256" ht="90" customHeight="1">
      <x:c r="A256" s="4" t="str">
        <x:v>P252</x:v>
      </x:c>
      <x:c r="B256" s="4" t="str">
        <x:v>FATIVO Cubre Radiadores Blanco: 78x20x83 cm con Estante de Veta de Madera | Cubre Radiador de MDF, Cubreradiador Moderno, Consola Auxiliar para Salón y Pasillo, Diseño Reforzado y Duradero</x:v>
      </x:c>
      <x:c r="C256" s="4" t="str">
        <x:v>带层板暖气罩</x:v>
      </x:c>
      <x:c r="D256" s="4" t="str">
        <x:v>遮挡暖气并提供辅助摆放面</x:v>
      </x:c>
      <x:c r="E256" s="4" t="str">
        <x:v>观察</x:v>
      </x:c>
      <x:c r="F256" s="4" t="str">
        <x:v>经营边界未确认</x:v>
      </x:c>
      <x:c r="G256" s="4" t="str">
        <x:v>3216212</x:v>
      </x:c>
      <x:c r="H256" s="4" t="str">
        <x:v>Mesa auxiliar de madera</x:v>
      </x:c>
      <x:c r="I256" s="4" t="str">
        <x:v>related_type</x:v>
      </x:c>
      <x:c r="J256" s="4" t="str">
        <x:v>辅助家具参照只对应置物功能，暖气罩不是供暖机器；家具与安装适配待确认</x:v>
      </x:c>
      <x:c r="K256" s="4" t="str">
        <x:v>通风、暖气兼容和承载未核实</x:v>
      </x:c>
      <x:c r="L256" s="4" t="str">
        <x:v>https://www.amazon.es/FATIVO-Cubre-Radiadores-Blanco-78x20x83/dp/B0GLGQ7NXJ?psc=1</x:v>
      </x:c>
      <x:c r="M256" s="4" t="str">
        <x:v>B0_84bacc4c6b66_007444</x:v>
      </x:c>
      <x:c r="N256" s="4" t="str">
        <x:v>b6bb2892b43b0b4f55a9e0372fbd64c8009c5a56fada4d67950350e2f32fe84f</x:v>
      </x:c>
      <x:c r="O256" s="8"/>
      <x:c r="P256" s="8"/>
      <x:c r="Q256" s="8"/>
      <x:c r="R256" s="8"/>
    </x:row>
    <x:row r="257" ht="90" customHeight="1">
      <x:c r="A257" s="4" t="str">
        <x:v>P253</x:v>
      </x:c>
      <x:c r="B257" s="4" t="str">
        <x:v>Molde de Lingote de Fundición, Molde de Crisol de Grafito Forma Redonda Refinación Molde de Lingote de Grafito de Plata Dorada para la Industria, Molde de Refinación de Metal de Joyería Molde de Lingo</x:v>
      </x:c>
      <x:c r="C257" s="4" t="str">
        <x:v>石墨金属铸锭模具</x:v>
      </x:c>
      <x:c r="D257" s="4" t="str">
        <x:v>为金属铸造提供成型腔</x:v>
      </x:c>
      <x:c r="E257" s="4" t="str">
        <x:v>观察</x:v>
      </x:c>
      <x:c r="F257" s="4" t="str">
        <x:v>经营边界未确认</x:v>
      </x:c>
      <x:c r="G257" s="4" t="str"/>
      <x:c r="H257" s="4" t="str"/>
      <x:c r="I257" s="4" t="str">
        <x:v>none</x:v>
      </x:c>
      <x:c r="J257" s="4" t="str">
        <x:v>主体为模具而非整台工业熔炼机；烘焙硅胶模具不适合作为金属工艺同类参照</x:v>
      </x:c>
      <x:c r="K257" s="4" t="str">
        <x:v>熔融金属种类及耐温未核实</x:v>
      </x:c>
      <x:c r="L257" s="4" t="str">
        <x:v>https://www.amazon.es/Lingote-Fundici%C3%B3n-Grafito-Refinaci%C3%B3n-Industria/dp/B0BGJC89MM?psc=1</x:v>
      </x:c>
      <x:c r="M257" s="4" t="str">
        <x:v>B0_84bacc4c6b66_012355</x:v>
      </x:c>
      <x:c r="N257" s="4" t="str">
        <x:v>066d74a3bf958051ddb7168e39c3c85ca3f984af176f1fc73167620734584504</x:v>
      </x:c>
      <x:c r="O257" s="8"/>
      <x:c r="P257" s="8"/>
      <x:c r="Q257" s="8"/>
      <x:c r="R257" s="8"/>
    </x:row>
    <x:row r="258" ht="90" customHeight="1">
      <x:c r="A258" s="4" t="str">
        <x:v>P254</x:v>
      </x:c>
      <x:c r="B258" s="4" t="str">
        <x:v>Plastoy One Piece Hucha Chibi Monkey D. Luffy - Plástico - 14 cm</x:v>
      </x:c>
      <x:c r="C258" s="4" t="str">
        <x:v>路飞角色储蓄罐</x:v>
      </x:c>
      <x:c r="D258" s="4" t="str">
        <x:v>存放硬币或收藏摆设</x:v>
      </x:c>
      <x:c r="E258" s="4" t="str">
        <x:v>保留</x:v>
      </x:c>
      <x:c r="F258" s="4" t="str"/>
      <x:c r="G258" s="4" t="str">
        <x:v>3200028</x:v>
      </x:c>
      <x:c r="H258" s="4" t="str">
        <x:v>Hucha</x:v>
      </x:c>
      <x:c r="I258" s="4" t="str">
        <x:v>same_type</x:v>
      </x:c>
      <x:c r="J258" s="4" t="str">
        <x:v>Hucha明确存钱罐，角色造型不改变主体</x:v>
      </x:c>
      <x:c r="K258" s="4" t="str">
        <x:v>角色授权和取币结构未核实</x:v>
      </x:c>
      <x:c r="L258" s="4" t="str">
        <x:v>https://www.amazon.es/Plastoy-Piece-Luffy-Multicolor-7B3957481A/dp/B087QRFM4M/ref=sr_1_3213?dib=eyJ2IjoiMSJ9.xnyoMn34eZGCT-f3efgryrdfw9rkp6PDFg4LpRE5hAP32zrOL1mn3glruXOmiRpvU-Oh_159Tv9Gx0lGu7LJx-esAZISh2UkpLjrrUJUR5uGjKf70slqaGmBPrGqurWEGANDvuM6tU4HyPkCiad2E_WMlToPvK35c9PBg8VwarHfbkw2ihPA43Fqiw3wijNb0S77jagjj-A6OEPZvO3wZwbuZEB0vmQEEZpD_zb7wph5BQFsPLsZYah7HHW3yJffyxX_jLkWgrFAX2qa5N9DpiZbnez5t7m9D5ddLK75CTk.xgkhVrVrHgbowQAmGj3d3AAJjDTA9MSVJLn1r9Kdqoo&amp;dib_tag=se&amp;qid=1792651774&amp;s=kitchen&amp;sr=1-3213&amp;srs=88626813031&amp;xpid=qpnO31ULD-dQ4</x:v>
      </x:c>
      <x:c r="M258" s="4" t="str">
        <x:v>B0_84bacc4c6b66_015961</x:v>
      </x:c>
      <x:c r="N258" s="4" t="str">
        <x:v>0d7059e9af8da04d3198886544c086ec3fb7767c9be2d57f8be39fabe6327bab</x:v>
      </x:c>
      <x:c r="O258" s="8"/>
      <x:c r="P258" s="8"/>
      <x:c r="Q258" s="8"/>
      <x:c r="R258" s="8"/>
    </x:row>
    <x:row r="259" ht="90" customHeight="1">
      <x:c r="A259" s="4" t="str">
        <x:v>P255</x:v>
      </x:c>
      <x:c r="B259" s="4" t="str">
        <x:v>Bolsa plegable con llavero con bolsa de cuero de primera calidad, expandible, reutilizable, bolsa de compras de comestibles de gran capacidad, ligera, portátil, para viajes y uso diario</x:v>
      </x:c>
      <x:c r="C259" s="4" t="str">
        <x:v>带钥匙扣收纳的折叠购物袋</x:v>
      </x:c>
      <x:c r="D259" s="4" t="str">
        <x:v>随身携带后展开购物装物</x:v>
      </x:c>
      <x:c r="E259" s="4" t="str">
        <x:v>保留</x:v>
      </x:c>
      <x:c r="F259" s="4" t="str"/>
      <x:c r="G259" s="4" t="str">
        <x:v>3218142</x:v>
      </x:c>
      <x:c r="H259" s="4" t="str">
        <x:v>Bolsa plegable para la compra</x:v>
      </x:c>
      <x:c r="I259" s="4" t="str">
        <x:v>same_type</x:v>
      </x:c>
      <x:c r="J259" s="4" t="str">
        <x:v>参照折叠购物袋同类，钥匙扣与小收纳袋是携带结构</x:v>
      </x:c>
      <x:c r="K259" s="4" t="str">
        <x:v>皮料声称和承重未核实</x:v>
      </x:c>
      <x:c r="L259" s="4" t="str">
        <x:v>https://www.amazon.es/expandible-reutilizable-comestibles-capacidad-multicolor/dp/B0HFN2TRBR?psc=1</x:v>
      </x:c>
      <x:c r="M259" s="4" t="str">
        <x:v>B0_84bacc4c6b66_023873</x:v>
      </x:c>
      <x:c r="N259" s="4" t="str">
        <x:v>7de6e1987038d42ad09448a3682948fdc8acc8b8df8926f745bff16199b78c71</x:v>
      </x:c>
      <x:c r="O259" s="8"/>
      <x:c r="P259" s="8"/>
      <x:c r="Q259" s="8"/>
      <x:c r="R259" s="8"/>
    </x:row>
    <x:row r="260" ht="90" customHeight="1">
      <x:c r="A260" s="4" t="str">
        <x:v>P256</x:v>
      </x:c>
      <x:c r="B260" s="4" t="str">
        <x:v>Qibivfo Pintura Textil Permanente 12×25ml – Pintura Acrílica para Tela Lavable | Colores Vivos y Alta Cobertura para Ropa, Camisetas, Zapatillas, Bolsos, Jeans y Todo Tipo de Tejidos</x:v>
      </x:c>
      <x:c r="C260" s="4" t="str">
        <x:v>织物用丙烯颜料套装</x:v>
      </x:c>
      <x:c r="D260" s="4" t="str">
        <x:v>在衣物或布料上绘画</x:v>
      </x:c>
      <x:c r="E260" s="4" t="str">
        <x:v>保留</x:v>
      </x:c>
      <x:c r="F260" s="4" t="str"/>
      <x:c r="G260" s="4" t="str">
        <x:v>3220642</x:v>
      </x:c>
      <x:c r="H260" s="4" t="str">
        <x:v>Pintura acrílica</x:v>
      </x:c>
      <x:c r="I260" s="4" t="str">
        <x:v>related_type</x:v>
      </x:c>
      <x:c r="J260" s="4" t="str">
        <x:v>参照丙烯颜料为相关绘画材料，但不能据此声称参照也可耐洗上布</x:v>
      </x:c>
      <x:c r="K260" s="4" t="str">
        <x:v>固色、耐洗和织物兼容未核实</x:v>
      </x:c>
      <x:c r="L260" s="4" t="str">
        <x:v>https://www.amazon.es/Qibivfo-Pintura-Textil-Permanente-12%C3%9725ml/dp/B0FXKPDG3B?psc=1</x:v>
      </x:c>
      <x:c r="M260" s="4" t="str">
        <x:v>B0_84bacc4c6b66_016582</x:v>
      </x:c>
      <x:c r="N260" s="4" t="str">
        <x:v>e231f4aab19655fb439653256ca74e8d58886523032344ad9989a643b74f9be9</x:v>
      </x:c>
      <x:c r="O260" s="8"/>
      <x:c r="P260" s="8"/>
      <x:c r="Q260" s="8"/>
      <x:c r="R260" s="8"/>
    </x:row>
    <x:row r="261" ht="90" customHeight="1">
      <x:c r="A261" s="4" t="str">
        <x:v>P257</x:v>
      </x:c>
      <x:c r="B261" s="4" t="str">
        <x:v>Mery | Cubo Fregona con Ruedas, Escurridor Automático, 14L, Gris</x:v>
      </x:c>
      <x:c r="C261" s="4" t="str">
        <x:v>带轮挤水拖把桶</x:v>
      </x:c>
      <x:c r="D261" s="4" t="str">
        <x:v>盛水和挤干拖把</x:v>
      </x:c>
      <x:c r="E261" s="4" t="str">
        <x:v>保留</x:v>
      </x:c>
      <x:c r="F261" s="4" t="str"/>
      <x:c r="G261" s="4" t="str">
        <x:v>3212859</x:v>
      </x:c>
      <x:c r="H261" s="4" t="str">
        <x:v>Cubo con escurridor Spargo</x:v>
      </x:c>
      <x:c r="I261" s="4" t="str">
        <x:v>same_type</x:v>
      </x:c>
      <x:c r="J261" s="4" t="str">
        <x:v>参照挤水桶同类，自动挤水字样不证明存在电机</x:v>
      </x:c>
      <x:c r="K261" s="4" t="str">
        <x:v>挤水机构与容量未独立核实</x:v>
      </x:c>
      <x:c r="L261" s="4" t="str">
        <x:v>https://www.amazon.es/Escurridor-Autom%C3%A1tico-Fregona-Ruedas-Capacidad/dp/B013UZ3WDS/ref=sr_1_334_mod_primary_new?dib=eyJ2IjoiMSJ9.hJuTv4IKRW450Y8LRmUCQYje295TepRwZkgmJKYVLqkBIeq3STlHrGY2EsNxO70ypKBxhsWD6FoiIVj3jolN8lo2r82avyxuWhdwSRMNAyfsEsVy8i6NtzwkRbd9E2H_LCkSXFoGXm23t0YzKgH_V2Trw4m9n7yAOPDOMWxqNOwdHhQXauIe3YnzAplbpRgrZ1D_blPc4WpnmC_HAteDyKu3TnWF3q5TbBPzfQvvpu6paDgGktkwO8ZIYVMYLB6G0FuVoJJj2A1yL0n_rGXlcjQ-tyAodNkXzLcef2aPZ5I.R0Ooh3wWSLKe4xwUUk8lKQJhHxZIh68PkTIRcqhpJ4c&amp;dib_tag=se&amp;qid=1792649172&amp;s=kitchen&amp;sbo=RZvfv%2F%2FHxDF%2BO5021pAnSA%3D%3D&amp;sr=1-334&amp;srs=88626813031&amp;xpid=qpnO31ULD-dQ4</x:v>
      </x:c>
      <x:c r="M261" s="4" t="str">
        <x:v>B0_84bacc4c6b66_007095</x:v>
      </x:c>
      <x:c r="N261" s="4" t="str">
        <x:v>57d33c0d422fbc1444600c09ab742da17d34130c4a2cfdf0f03ee402c8185f20</x:v>
      </x:c>
      <x:c r="O261" s="8"/>
      <x:c r="P261" s="8"/>
      <x:c r="Q261" s="8"/>
      <x:c r="R261" s="8"/>
    </x:row>
    <x:row r="262" ht="90" customHeight="1">
      <x:c r="A262" s="4" t="str">
        <x:v>P258</x:v>
      </x:c>
      <x:c r="B262" s="4" t="str">
        <x:v>1 Par Bisagras Abatibles para Mesa de Centro, Soporte de Marco de Escuadras Abatibles Bisagras de Resorte Bisagra Elevables Plegable 40 kg con Mecanismo para Mesas Café y Accesorios de Montaje</x:v>
      </x:c>
      <x:c r="C262" s="4" t="str">
        <x:v>茶几升降铰链机构</x:v>
      </x:c>
      <x:c r="D262" s="4" t="str">
        <x:v>帮助桌板翻起或升降</x:v>
      </x:c>
      <x:c r="E262" s="4" t="str">
        <x:v>观察</x:v>
      </x:c>
      <x:c r="F262" s="4" t="str">
        <x:v>专用或安装配件</x:v>
      </x:c>
      <x:c r="G262" s="4" t="str">
        <x:v>3221235</x:v>
      </x:c>
      <x:c r="H262" s="4" t="str">
        <x:v>Bisagras</x:v>
      </x:c>
      <x:c r="I262" s="4" t="str">
        <x:v>related_type</x:v>
      </x:c>
      <x:c r="J262" s="4" t="str">
        <x:v>主体为家具机构件，真实铰链参照存在但不支持整桌判断</x:v>
      </x:c>
      <x:c r="K262" s="4" t="str">
        <x:v>承重、孔位和桌体适配未核实</x:v>
      </x:c>
      <x:c r="L262" s="4" t="str">
        <x:v>https://www.amazon.es/Abatibles-Escuadras-Elevables-Mecanismo-Accesorios/dp/B0F9P64D4F?psc=1</x:v>
      </x:c>
      <x:c r="M262" s="4" t="str">
        <x:v>B0_84bacc4c6b66_000630</x:v>
      </x:c>
      <x:c r="N262" s="4" t="str">
        <x:v>3ce602a8f48e2a14caba35ddfc2fa764ce811ed9ffc33c2f526ad17d1969dd23</x:v>
      </x:c>
      <x:c r="O262" s="8"/>
      <x:c r="P262" s="8"/>
      <x:c r="Q262" s="8"/>
      <x:c r="R262" s="8"/>
    </x:row>
    <x:row r="263" ht="90" customHeight="1">
      <x:c r="A263" s="4" t="str">
        <x:v>P259</x:v>
      </x:c>
      <x:c r="B263" s="4" t="str">
        <x:v>Impeccable Culinary Objects (ICO) Sifon de Cocina Profesional para Espumas y Nata de Aluminio, 500 ml</x:v>
      </x:c>
      <x:c r="C263" s="4" t="str">
        <x:v>奶油泡沫气压瓶</x:v>
      </x:c>
      <x:c r="D263" s="4" t="str">
        <x:v>制作奶油或料理泡沫</x:v>
      </x:c>
      <x:c r="E263" s="4" t="str">
        <x:v>观察</x:v>
      </x:c>
      <x:c r="F263" s="4" t="str">
        <x:v>经营边界未确认</x:v>
      </x:c>
      <x:c r="G263" s="4" t="str"/>
      <x:c r="H263" s="4" t="str"/>
      <x:c r="I263" s="4" t="str">
        <x:v>none</x:v>
      </x:c>
      <x:c r="J263" s="4" t="str">
        <x:v>烹饪气压容器主体明确，专业声称不是工业机器；气压工具经营边界未确认</x:v>
      </x:c>
      <x:c r="K263" s="4" t="str">
        <x:v>气弹接口和耐压安全未核实</x:v>
      </x:c>
      <x:c r="L263" s="4" t="str">
        <x:v>https://www.amazon.es/Sifon-Cocina-Profesional-Espumas-Aluminio/dp/B003VOMHPS/ref=sr_1_3464?dib=eyJ2IjoiMSJ9.NxM21xhkMXqTlw4081VO2aZySZYLLcSd6Nrbhn4tuOA82DvGbq1OoRVSyGyinfS-Vdn-IjoNGUvP_1Rj3fv2Fl_6SIQjgk6w4_pAnSXODH717R-gkjdl_u3bedQwSgaobfgGDptGjRFCg-AjTZYgpPmKHoHV-V3mIEiQkcM-AaSKEEFMM0ptTGErE6aD1e_GbGDylAepW_knmncTMmybL2T7H5cQ0wK8bJAaoc-bIK8d96qwME_2PJwroVLjzjyQMLoP4tX4OVrwITbZtka6kNOzIkOzcqovGrQSvLUOIVs.sZzrLptDfWUQ9K-SBu3bMtiFUdtWpfk3o1QzIfbMDaY&amp;dib_tag=se&amp;qid=1792599903&amp;s=kitchen&amp;sr=1-3464&amp;srs=88626813031&amp;xpid=CeuYXw3Vdr0Bg</x:v>
      </x:c>
      <x:c r="M263" s="4" t="str">
        <x:v>B0_84bacc4c6b66_018597</x:v>
      </x:c>
      <x:c r="N263" s="4" t="str">
        <x:v>5f9d4b2fa22adf6a45771c36952b31bdc0f04d4ce57659bd7998f5992c03c899</x:v>
      </x:c>
      <x:c r="O263" s="8"/>
      <x:c r="P263" s="8"/>
      <x:c r="Q263" s="8"/>
      <x:c r="R263" s="8"/>
    </x:row>
    <x:row r="264" ht="90" customHeight="1">
      <x:c r="A264" s="4" t="str">
        <x:v>P260</x:v>
      </x:c>
      <x:c r="B264" s="4" t="str">
        <x:v>Plancha Vertical Vapor 2 en 1 para Viaje, Plancha de Vapor Portátil 1200W | con Mango Giratorio 180°, Lista en 10 Segundos, 3 Niveles de Vapor, Pantalla LCD y Depósito 165 ml Ideal para Viajes y Hogar</x:v>
      </x:c>
      <x:c r="C264" s="4" t="str">
        <x:v>便携蒸汽熨烫机</x:v>
      </x:c>
      <x:c r="D264" s="4" t="str">
        <x:v>去除衣物褶皱</x:v>
      </x:c>
      <x:c r="E264" s="4" t="str">
        <x:v>观察</x:v>
      </x:c>
      <x:c r="F264" s="4" t="str">
        <x:v>经营边界未确认</x:v>
      </x:c>
      <x:c r="G264" s="4" t="str">
        <x:v>3013622</x:v>
      </x:c>
      <x:c r="H264" s="4" t="str">
        <x:v>Plancha de vapor Tristar</x:v>
      </x:c>
      <x:c r="I264" s="4" t="str">
        <x:v>related_type</x:v>
      </x:c>
      <x:c r="J264" s="4" t="str">
        <x:v>参照蒸汽熨斗功能相关，旋转柄和立式使用是源差异</x:v>
      </x:c>
      <x:c r="K264" s="4" t="str">
        <x:v>加热时间与蒸汽性能未核实</x:v>
      </x:c>
      <x:c r="L264" s="4" t="str">
        <x:v>https://www.amazon.es/Vertical-Port%C3%A1til-Giratorio-Segundos-Pantalla/dp/B0HLKTL3PD?psc=1</x:v>
      </x:c>
      <x:c r="M264" s="4" t="str">
        <x:v>B0_84bacc4c6b66_021355</x:v>
      </x:c>
      <x:c r="N264" s="4" t="str">
        <x:v>872b7ab1118283c9cf539992f6d4b730c7d0210d5c7e129a60652c1527ebafc6</x:v>
      </x:c>
      <x:c r="O264" s="8"/>
      <x:c r="P264" s="8"/>
      <x:c r="Q264" s="8"/>
      <x:c r="R264" s="8"/>
    </x:row>
    <x:row r="265" ht="90" customHeight="1">
      <x:c r="A265" s="4" t="str">
        <x:v>P261</x:v>
      </x:c>
      <x:c r="B265" s="4" t="str">
        <x:v>URAQT Corona Cumpleaños, Corona de Infantil Cumpleañoscon Números Intercambiables del 0 al 9, Corona Cumpleaños 1 Año con Ajustable Aniversario Años o Meses</x:v>
      </x:c>
      <x:c r="C265" s="4" t="str">
        <x:v>可换数字生日皇冠</x:v>
      </x:c>
      <x:c r="D265" s="4" t="str">
        <x:v>生日穿戴装饰</x:v>
      </x:c>
      <x:c r="E265" s="4" t="str">
        <x:v>保留</x:v>
      </x:c>
      <x:c r="F265" s="4" t="str"/>
      <x:c r="G265" s="4" t="str">
        <x:v>2570459</x:v>
      </x:c>
      <x:c r="H265" s="4" t="str">
        <x:v>Diadema de Halloween</x:v>
      </x:c>
      <x:c r="I265" s="4" t="str">
        <x:v>related_type</x:v>
      </x:c>
      <x:c r="J265" s="4" t="str">
        <x:v>节庆头箍参照支持穿戴式头部装饰需求，皇冠形状不同；不把甜点或含义不明的花环当成同类</x:v>
      </x:c>
      <x:c r="K265" s="4" t="str">
        <x:v>适龄及数字配件安全未核实</x:v>
      </x:c>
      <x:c r="L265" s="4" t="str">
        <x:v>https://www.amazon.es/URAQT-Cumplea%C3%B1os-Cumplea%C3%B1oscon-Intercambiables-Aniversario/dp/B0DYP1C5FD?psc=1</x:v>
      </x:c>
      <x:c r="M265" s="4" t="str">
        <x:v>B0_84bacc4c6b66_020533</x:v>
      </x:c>
      <x:c r="N265" s="4" t="str">
        <x:v>4ed16b0d40632d94757bcc67c5e52d86afaeab6dde5f8bdcc11efbd465a7420e</x:v>
      </x:c>
      <x:c r="O265" s="8"/>
      <x:c r="P265" s="8"/>
      <x:c r="Q265" s="8"/>
      <x:c r="R265" s="8"/>
    </x:row>
    <x:row r="266" ht="90" customHeight="1">
      <x:c r="A266" s="4" t="str">
        <x:v>P262</x:v>
      </x:c>
      <x:c r="B266" s="4" t="str">
        <x:v>Pack 2 Botellas de Cristal 1L con Tapón Hermético Vidrio Transparente | Para Agua y Zumo, Apta para Nevera, Cierre Hermético, Vidrio Transparente, Ideales para Servir y Conservar Bebidas Frías</x:v>
      </x:c>
      <x:c r="C266" s="4" t="str">
        <x:v>带密封盖玻璃瓶</x:v>
      </x:c>
      <x:c r="D266" s="4" t="str">
        <x:v>盛装冷饮</x:v>
      </x:c>
      <x:c r="E266" s="4" t="str">
        <x:v>保留</x:v>
      </x:c>
      <x:c r="F266" s="4" t="str"/>
      <x:c r="G266" s="4" t="str">
        <x:v>3008223</x:v>
      </x:c>
      <x:c r="H266" s="4" t="str">
        <x:v>Botella de vidrio</x:v>
      </x:c>
      <x:c r="I266" s="4" t="str">
        <x:v>same_type</x:v>
      </x:c>
      <x:c r="J266" s="4" t="str">
        <x:v>参照玻璃瓶同类，适合冰箱不代表冰箱整机</x:v>
      </x:c>
      <x:c r="K266" s="4" t="str">
        <x:v>密封、耐温和容量未独立核实</x:v>
      </x:c>
      <x:c r="L266" s="4" t="str">
        <x:v>https://www.amazon.es/Botellas-Cristal-Herm%C3%A9tico-Transparente-Conservar/dp/B0H753GB1D?psc=1</x:v>
      </x:c>
      <x:c r="M266" s="4" t="str">
        <x:v>B0_84bacc4c6b66_003331</x:v>
      </x:c>
      <x:c r="N266" s="4" t="str">
        <x:v>a5a9d35f2a42ecc7841d3ceb798b3a0830d45930bc792515a6da203de23824ad</x:v>
      </x:c>
      <x:c r="O266" s="8"/>
      <x:c r="P266" s="8"/>
      <x:c r="Q266" s="8"/>
      <x:c r="R266" s="8"/>
    </x:row>
    <x:row r="267" ht="90" customHeight="1">
      <x:c r="A267" s="4" t="str">
        <x:v>P263</x:v>
      </x:c>
      <x:c r="B267" s="4" t="str">
        <x:v>Monix Induction Inox | Cafetera Italiana, 6 tazas, color rojo | Aluminio y Acero Inoxidable, 6 tazas de capacidad, Mango termorresistente, Apta para todo tipo de Cocinas incluida Inducción</x:v>
      </x:c>
      <x:c r="C267" s="4" t="str">
        <x:v>炉用意式摩卡壶</x:v>
      </x:c>
      <x:c r="D267" s="4" t="str">
        <x:v>通过炉具加热萃取咖啡</x:v>
      </x:c>
      <x:c r="E267" s="4" t="str">
        <x:v>保留</x:v>
      </x:c>
      <x:c r="F267" s="4" t="str"/>
      <x:c r="G267" s="4" t="str">
        <x:v>3203560</x:v>
      </x:c>
      <x:c r="H267" s="4" t="str">
        <x:v>Cafetera Moka</x:v>
      </x:c>
      <x:c r="I267" s="4" t="str">
        <x:v>same_type</x:v>
      </x:c>
      <x:c r="J267" s="4" t="str">
        <x:v>原文说明适合炉灶和电磁炉，明确炉用摩卡壶而非电动咖啡机</x:v>
      </x:c>
      <x:c r="K267" s="4" t="str">
        <x:v>电磁炉适配和耐热柄未核实</x:v>
      </x:c>
      <x:c r="L267" s="4" t="str">
        <x:v>https://www.amazon.es/Monix-Induction-Inoxidable-capacidad-termorresistente/dp/B0D2RSCL8T?psc=1</x:v>
      </x:c>
      <x:c r="M267" s="4" t="str">
        <x:v>B0_84bacc4c6b66_013670</x:v>
      </x:c>
      <x:c r="N267" s="4" t="str">
        <x:v>6691a741682bf5cdb1c936fcb1da8727e2d711fda168672872d778fd4666a36e</x:v>
      </x:c>
      <x:c r="O267" s="8"/>
      <x:c r="P267" s="8"/>
      <x:c r="Q267" s="8"/>
      <x:c r="R267" s="8"/>
    </x:row>
    <x:row r="268" ht="90" customHeight="1">
      <x:c r="A268" s="4" t="str">
        <x:v>P264</x:v>
      </x:c>
      <x:c r="B268" s="4" t="str">
        <x:v>Yundu Ceramics - Taza y platillo para café latte – 10 onzas para capuchino, té, café moca, juego de 4, colores mixtos mate</x:v>
      </x:c>
      <x:c r="C268" s="4" t="str">
        <x:v>拿铁杯碟套装</x:v>
      </x:c>
      <x:c r="D268" s="4" t="str">
        <x:v>盛饮并承托咖啡杯</x:v>
      </x:c>
      <x:c r="E268" s="4" t="str">
        <x:v>保留</x:v>
      </x:c>
      <x:c r="F268" s="4" t="str"/>
      <x:c r="G268" s="4" t="str">
        <x:v>3220258</x:v>
      </x:c>
      <x:c r="H268" s="4" t="str">
        <x:v>Taza con platillo</x:v>
      </x:c>
      <x:c r="I268" s="4" t="str">
        <x:v>same_type</x:v>
      </x:c>
      <x:c r="J268" s="4" t="str">
        <x:v>参照明确杯与碟组合，覆盖核心套装</x:v>
      </x:c>
      <x:c r="K268" s="4" t="str">
        <x:v>四件具体配比和容量未独立核实</x:v>
      </x:c>
      <x:c r="L268" s="4" t="str">
        <x:v>https://www.amazon.es/Yundu-platillo-porcelana-latte-capuchino/dp/B093DBGXXW/ref=sr_1_3435?dib=eyJ2IjoiMSJ9.HkBD-d4BuV1c_owbI9ef2_SRXydfemZ79db9XdTqPOtYAHNkGsJ4SUWAh_l5R1KoFNQo5fB1qcVfXV1Yugq6AqFgIWdT7dIrues3EUGK-JCkQq_r2OETRej27PdRYrb29gHlUm8SyNvuJqBSlTfx1FcxLsCZMlwjS3tyn5c8GlCSYGWjEQOJA6p8hCJnXf2HQ_QQD9kS_DIjapTpxycM3YLhNaGjx8BZK2ipBDu6YwLvwOvRtA4ydyNZC3lSKD_X_58Q9_m2M4PQUGs-DIAi_2XhDI5SiRoP8Q6WaQS0UMA.OgcB01BhWAacI_23WIj9-TIOEg9zNtdjVknwyopBw2M&amp;dib_tag=se&amp;qid=1792599874&amp;s=kitchen&amp;sr=1-3435&amp;srs=88626813031&amp;xpid=CeuYXw3Vdr0Bg</x:v>
      </x:c>
      <x:c r="M268" s="4" t="str">
        <x:v>B0_84bacc4c6b66_022755</x:v>
      </x:c>
      <x:c r="N268" s="4" t="str">
        <x:v>1bc00cf92ca286e24432cf114807eb613e7f0293fa4b0697f41251a2844a48cb</x:v>
      </x:c>
      <x:c r="O268" s="8"/>
      <x:c r="P268" s="8"/>
      <x:c r="Q268" s="8"/>
      <x:c r="R268" s="8"/>
    </x:row>
    <x:row r="269" ht="90" customHeight="1">
      <x:c r="A269" s="4" t="str">
        <x:v>P265</x:v>
      </x:c>
      <x:c r="B269" s="4" t="str">
        <x:v>Colcolo Coche Clásico Juguete Coleccionable | Retro, Coche Aleación con Puertas Practicables, corativo, para Estantería, Rojo</x:v>
      </x:c>
      <x:c r="C269" s="4" t="str">
        <x:v>经典汽车收藏玩具</x:v>
      </x:c>
      <x:c r="D269" s="4" t="str">
        <x:v>把玩或陈列</x:v>
      </x:c>
      <x:c r="E269" s="4" t="str">
        <x:v>保留</x:v>
      </x:c>
      <x:c r="F269" s="4" t="str"/>
      <x:c r="G269" s="4" t="str">
        <x:v>3216699</x:v>
      </x:c>
      <x:c r="H269" s="4" t="str">
        <x:v>Coche de juguete Teamsterz</x:v>
      </x:c>
      <x:c r="I269" s="4" t="str">
        <x:v>same_type</x:v>
      </x:c>
      <x:c r="J269" s="4" t="str">
        <x:v>原文明说玩具收藏汽车，不误当实际车辆或零件</x:v>
      </x:c>
      <x:c r="K269" s="4" t="str">
        <x:v>适龄、尺寸与授权未核实</x:v>
      </x:c>
      <x:c r="L269" s="4" t="str">
        <x:v>https://www.amazon.es/Colcolo-Coleccionable-Aleaci%C3%B3n-Practicables-Estanter%C3%ADa/dp/B0HJBCYYZY?psc=1</x:v>
      </x:c>
      <x:c r="M269" s="4" t="str">
        <x:v>B0_84bacc4c6b66_004809</x:v>
      </x:c>
      <x:c r="N269" s="4" t="str">
        <x:v>e9397b8d66d4dd914c870779240d7dea311286cbaf7081a2c2a8a9a142ede68f</x:v>
      </x:c>
      <x:c r="O269" s="8"/>
      <x:c r="P269" s="8"/>
      <x:c r="Q269" s="8"/>
      <x:c r="R269" s="8"/>
    </x:row>
    <x:row r="270" ht="90" customHeight="1">
      <x:c r="A270" s="4" t="str">
        <x:v>P266</x:v>
      </x:c>
      <x:c r="B270" s="4" t="str">
        <x:v>SHENGH Molduras de Pared Autoadhesivas</x:v>
      </x:c>
      <x:c r="C270" s="4" t="str">
        <x:v>自粘墙面装饰线条</x:v>
      </x:c>
      <x:c r="D270" s="4" t="str">
        <x:v>装饰墙面边缘或造型</x:v>
      </x:c>
      <x:c r="E270" s="4" t="str">
        <x:v>观察</x:v>
      </x:c>
      <x:c r="F270" s="4" t="str">
        <x:v>缺少有效Action参照</x:v>
      </x:c>
      <x:c r="G270" s="4" t="str"/>
      <x:c r="H270" s="4" t="str"/>
      <x:c r="I270" s="4" t="str">
        <x:v>none</x:v>
      </x:c>
      <x:c r="J270" s="4" t="str">
        <x:v>装饰线条不同于墙柜或挂钩，未找到充分具体参照</x:v>
      </x:c>
      <x:c r="K270" s="4" t="str">
        <x:v>材料、尺寸和粘贴适用性未说明</x:v>
      </x:c>
      <x:c r="L270" s="4" t="str">
        <x:v>https://www.amazon.es/SHENGH-Molduras-de-Pared-Autoadhesivas/dp/B0HFRQG2LR?psc=1</x:v>
      </x:c>
      <x:c r="M270" s="4" t="str">
        <x:v>B0_84bacc4c6b66_017793</x:v>
      </x:c>
      <x:c r="N270" s="4" t="str">
        <x:v>e06fa0fb94ebeabedde1d8c25ae071de1aae0d5ac9c4d08fa1cbad30dd909a4e</x:v>
      </x:c>
      <x:c r="O270" s="8"/>
      <x:c r="P270" s="8"/>
      <x:c r="Q270" s="8"/>
      <x:c r="R270" s="8"/>
    </x:row>
    <x:row r="271" ht="90" customHeight="1">
      <x:c r="A271" s="4" t="str">
        <x:v>P267</x:v>
      </x:c>
      <x:c r="B271" s="4" t="str">
        <x:v>Sendowtek Calefactor Pequeño 900W, Electrico, Bajo Consumo, Portátil | Mini calentador. Protección contra caída y sobrecalentamiento. Ideal para oficinas, dormitorios y otros espacios pequeños</x:v>
      </x:c>
      <x:c r="C271" s="4" t="str">
        <x:v>便携小型电暖器</x:v>
      </x:c>
      <x:c r="D271" s="4" t="str">
        <x:v>局部空间取暖</x:v>
      </x:c>
      <x:c r="E271" s="4" t="str">
        <x:v>观察</x:v>
      </x:c>
      <x:c r="F271" s="4" t="str">
        <x:v>经营边界未确认</x:v>
      </x:c>
      <x:c r="G271" s="4" t="str">
        <x:v>3218113</x:v>
      </x:c>
      <x:c r="H271" s="4" t="str">
        <x:v>Calefactor de cerámica Nor-Tec</x:v>
      </x:c>
      <x:c r="I271" s="4" t="str">
        <x:v>related_type</x:v>
      </x:c>
      <x:c r="J271" s="4" t="str">
        <x:v>参照陶瓷暖器为相关取暖设备，源未说陶瓷不得补写</x:v>
      </x:c>
      <x:c r="K271" s="4" t="str">
        <x:v>低耗电、倾倒和过热保护未核实</x:v>
      </x:c>
      <x:c r="L271" s="4" t="str">
        <x:v>https://www.amazon.es/Sendowtek-Calefactor-Peque%C3%B1o-Electrico-Port%C3%A1til/dp/B0HHDS2NXJ?psc=1</x:v>
      </x:c>
      <x:c r="M271" s="4" t="str">
        <x:v>B0_84bacc4c6b66_018447</x:v>
      </x:c>
      <x:c r="N271" s="4" t="str">
        <x:v>4e81f78d76d692c75a71ab54ac1ebc6cc80268c8b2464ee160bc1808a624342e</x:v>
      </x:c>
      <x:c r="O271" s="8"/>
      <x:c r="P271" s="8"/>
      <x:c r="Q271" s="8"/>
      <x:c r="R271" s="8"/>
    </x:row>
    <x:row r="272" ht="90" customHeight="1">
      <x:c r="A272" s="4" t="str">
        <x:v>P268</x:v>
      </x:c>
      <x:c r="B272" s="4" t="str">
        <x:v>Mestive 12 bolas de madera de 60 mm, sin agujero, para proyectos de | Bola de madera de 60 mm de diámetro, superficie lisa pulida, ideal para manualidades, bricolaje y decoración</x:v>
      </x:c>
      <x:c r="C272" s="4" t="str">
        <x:v>无孔木球手工材料</x:v>
      </x:c>
      <x:c r="D272" s="4" t="str">
        <x:v>制作装饰或手工作品</x:v>
      </x:c>
      <x:c r="E272" s="4" t="str">
        <x:v>观察</x:v>
      </x:c>
      <x:c r="F272" s="4" t="str">
        <x:v>缺少有效Action参照</x:v>
      </x:c>
      <x:c r="G272" s="4" t="str"/>
      <x:c r="H272" s="4" t="str"/>
      <x:c r="I272" s="4" t="str">
        <x:v>none</x:v>
      </x:c>
      <x:c r="J272" s="4" t="str">
        <x:v>原材料木球与成品圣诞球或镜面球不同，不能仅凭球形建立同类证据</x:v>
      </x:c>
      <x:c r="K272" s="4" t="str">
        <x:v>表面处理与适龄未核实</x:v>
      </x:c>
      <x:c r="L272" s="4" t="str">
        <x:v>https://www.amazon.es/Mestive-proyectos-superficie-manualidades-decoraci%C3%B3n/dp/B0HBXQB987?psc=1</x:v>
      </x:c>
      <x:c r="M272" s="4" t="str">
        <x:v>B0_84bacc4c6b66_013392</x:v>
      </x:c>
      <x:c r="N272" s="4" t="str">
        <x:v>2b329bbf80b4d3f8d7ba7d95d17f6e6be30e6f084de6d7d191e4566b1d1485aa</x:v>
      </x:c>
      <x:c r="O272" s="8"/>
      <x:c r="P272" s="8"/>
      <x:c r="Q272" s="8"/>
      <x:c r="R272" s="8"/>
    </x:row>
    <x:row r="273" ht="90" customHeight="1">
      <x:c r="A273" s="4" t="str">
        <x:v>P269</x:v>
      </x:c>
      <x:c r="B273" s="4" t="str">
        <x:v>Picadora Para Perejil Herramienta De Cocina Manual Para Picar Ajo | Molinillo Cebolletas para Padres Chefs Preparación Comidas Cocina Apartamento y Hotel Restaurante</x:v>
      </x:c>
      <x:c r="C273" s="4" t="str">
        <x:v>手动香草蒜蓉切碎器</x:v>
      </x:c>
      <x:c r="D273" s="4" t="str">
        <x:v>切碎小份烹饪原料</x:v>
      </x:c>
      <x:c r="E273" s="4" t="str">
        <x:v>保留</x:v>
      </x:c>
      <x:c r="F273" s="4" t="str"/>
      <x:c r="G273" s="4" t="str">
        <x:v>3006560</x:v>
      </x:c>
      <x:c r="H273" s="4" t="str">
        <x:v>Picadora Home Essentials</x:v>
      </x:c>
      <x:c r="I273" s="4" t="str">
        <x:v>related_type</x:v>
      </x:c>
      <x:c r="J273" s="4" t="str">
        <x:v>参照切碎器同类用途但未说明驱动方式，源明确手动，不补电动属性</x:v>
      </x:c>
      <x:c r="K273" s="4" t="str">
        <x:v>刀片结构和清洗性能未核实</x:v>
      </x:c>
      <x:c r="L273" s="4" t="str">
        <x:v>https://www.amazon.es/Herramienta-Cebolletas-Preparaci%C3%B3n-Apartamento-Restaurante/dp/B0HD69ZMPL?psc=1</x:v>
      </x:c>
      <x:c r="M273" s="4" t="str">
        <x:v>B0_84bacc4c6b66_009586</x:v>
      </x:c>
      <x:c r="N273" s="4" t="str">
        <x:v>07e621b382f0e2ef3866b9259c3c4689ff7997db8dcb8b3004e039ca17537659</x:v>
      </x:c>
      <x:c r="O273" s="8"/>
      <x:c r="P273" s="8"/>
      <x:c r="Q273" s="8"/>
      <x:c r="R273" s="8"/>
    </x:row>
    <x:row r="274" ht="90" customHeight="1">
      <x:c r="A274" s="4" t="str">
        <x:v>P270</x:v>
      </x:c>
      <x:c r="B274" s="4" t="str">
        <x:v>OXO Good Grips Set 3 Tablas de Cortar Everyday</x:v>
      </x:c>
      <x:c r="C274" s="4" t="str">
        <x:v>三件砧板套装</x:v>
      </x:c>
      <x:c r="D274" s="4" t="str">
        <x:v>切配食材</x:v>
      </x:c>
      <x:c r="E274" s="4" t="str">
        <x:v>保留</x:v>
      </x:c>
      <x:c r="F274" s="4" t="str"/>
      <x:c r="G274" s="4" t="str">
        <x:v>3016470</x:v>
      </x:c>
      <x:c r="H274" s="4" t="str">
        <x:v>Tabla de cortar antibacteriana Redstone</x:v>
      </x:c>
      <x:c r="I274" s="4" t="str">
        <x:v>related_type</x:v>
      </x:c>
      <x:c r="J274" s="4" t="str">
        <x:v>各件都是砧板，参照砧板覆盖主体；原文未说材质不补造</x:v>
      </x:c>
      <x:c r="K274" s="4" t="str">
        <x:v>材质和尺寸未说明</x:v>
      </x:c>
      <x:c r="L274" s="4" t="str">
        <x:v>https://www.amazon.es/OXO-codificadas-recogegotas-antideslizantes-lavavajillas/dp/B07W5JN2PL/ref=sr_1_3929?dib=eyJ2IjoiMSJ9.ylyh0ZgOKTVEEvxZbTrE50SFZCv6TTEjK48W5b07cm_9zss2O1TsLCDBGbo8whG8tpmbhhCnAI0Yt-1fFAy-nvve8bC8YPRKgI7kaVm0jjYo0GLIqbXi8ovlyV91eSlKCHH7HBZkNoXrFEtR2aS5C7gOEv0FV6iok4GrULna-oPhXTYP_Erk9f7jeJdeIxdYfgy2rmY3-xlo5VfrUMlMpvMOy18XW4DCcLk9OKbmDgjcD6QB-ecun9-b_KcTI4kzoZM5KqEOgceyMooisgpQlFEkJLW8TelqpIOltf4kR9Q.Gn2izcpdgywbS_Zu172PEdHeSiUb5sd-xR-B_3fvpiw&amp;dib_tag=se&amp;qid=1792600472&amp;s=kitchen&amp;sr=1-3929&amp;srs=88626813031&amp;xpid=CeuYXw3Vdr0Bg</x:v>
      </x:c>
      <x:c r="M274" s="4" t="str">
        <x:v>B0_84bacc4c6b66_014630</x:v>
      </x:c>
      <x:c r="N274" s="4" t="str">
        <x:v>4662c9a0c440583115c5a596399ed72979d8fc7cc4c00a683b4dd00704ad740d</x:v>
      </x:c>
      <x:c r="O274" s="8"/>
      <x:c r="P274" s="8"/>
      <x:c r="Q274" s="8"/>
      <x:c r="R274" s="8"/>
    </x:row>
    <x:row r="275" ht="90" customHeight="1">
      <x:c r="A275" s="4" t="str">
        <x:v>P271</x:v>
      </x:c>
      <x:c r="B275" s="4" t="str">
        <x:v>20-Piezas Repuestos para iRobot Roomba E5/ E5154/ E6/ I7+ Combo I5/ J5 | JoyBros Compatible con I7156/ I1/ I1152/ I3/ I3152/ I4/ I5/ I8: 4 Cepillo Rodillos Principal; 8 Cepillos Laterales; 8 Filtros</x:v>
      </x:c>
      <x:c r="C275" s="4" t="str">
        <x:v>扫地机器人刷辊和滤网替换套装</x:v>
      </x:c>
      <x:c r="D275" s="4" t="str">
        <x:v>维护适配机器人</x:v>
      </x:c>
      <x:c r="E275" s="4" t="str">
        <x:v>观察</x:v>
      </x:c>
      <x:c r="F275" s="4" t="str">
        <x:v>专用或安装配件</x:v>
      </x:c>
      <x:c r="G275" s="4" t="str"/>
      <x:c r="H275" s="4" t="str"/>
      <x:c r="I275" s="4" t="str">
        <x:v>none</x:v>
      </x:c>
      <x:c r="J275" s="4" t="str">
        <x:v>替换套装不是机器人整机；普通清洁刷无接口适配证据</x:v>
      </x:c>
      <x:c r="K275" s="4" t="str">
        <x:v>型号兼容和滤材性能未核实</x:v>
      </x:c>
      <x:c r="L275" s="4" t="str">
        <x:v>https://www.amazon.es/20-Piezas-Repuestos-iRobot-Roomba-E5154/dp/B07SM4QZY7?psc=1</x:v>
      </x:c>
      <x:c r="M275" s="4" t="str">
        <x:v>B0_84bacc4c6b66_000074</x:v>
      </x:c>
      <x:c r="N275" s="4" t="str">
        <x:v>655cb736951583b607485088f78c503a5ca38187b5c7aa0917cb761c0ea76d28</x:v>
      </x:c>
      <x:c r="O275" s="8"/>
      <x:c r="P275" s="8"/>
      <x:c r="Q275" s="8"/>
      <x:c r="R275" s="8"/>
    </x:row>
    <x:row r="276" ht="90" customHeight="1">
      <x:c r="A276" s="4" t="str">
        <x:v>P272</x:v>
      </x:c>
      <x:c r="B276" s="4" t="str">
        <x:v>Zghhc Alfombrilla De Baño con Forma De Tigre, Alfombra con Forma De Animal Adorable, Alfombrilla Pequeña Antideslizante Y Absorbente para Bañera, Ideal para Baños Interiores.</x:v>
      </x:c>
      <x:c r="C276" s="4" t="str">
        <x:v>老虎造型浴室地垫</x:v>
      </x:c>
      <x:c r="D276" s="4" t="str">
        <x:v>承接湿脚和装饰浴室</x:v>
      </x:c>
      <x:c r="E276" s="4" t="str">
        <x:v>保留</x:v>
      </x:c>
      <x:c r="F276" s="4" t="str"/>
      <x:c r="G276" s="4" t="str">
        <x:v>3205878</x:v>
      </x:c>
      <x:c r="H276" s="4" t="str">
        <x:v>Alfombrilla de baño</x:v>
      </x:c>
      <x:c r="I276" s="4" t="str">
        <x:v>same_type</x:v>
      </x:c>
      <x:c r="J276" s="4" t="str">
        <x:v>参照同为浴室地垫，动物造型不是宠物用品</x:v>
      </x:c>
      <x:c r="K276" s="4" t="str">
        <x:v>吸水和防滑性能未核实</x:v>
      </x:c>
      <x:c r="L276" s="4" t="str">
        <x:v>https://www.amazon.es/Zghhc-Alfombrilla-Antideslizante-Absorbente-Interiores/dp/B0HMKD23JS?psc=1</x:v>
      </x:c>
      <x:c r="M276" s="4" t="str">
        <x:v>B0_84bacc4c6b66_023010</x:v>
      </x:c>
      <x:c r="N276" s="4" t="str">
        <x:v>80d79811fc33ecb1c2d780e71b188236f1f850d71a0dc6f1d16492b12a8cf692</x:v>
      </x:c>
      <x:c r="O276" s="8"/>
      <x:c r="P276" s="8"/>
      <x:c r="Q276" s="8"/>
      <x:c r="R276" s="8"/>
    </x:row>
    <x:row r="277" ht="90" customHeight="1">
      <x:c r="A277" s="4" t="str">
        <x:v>P273</x:v>
      </x:c>
      <x:c r="B277" s="4" t="str">
        <x:v>Patas de Escalera Patas de Goma para Escaleras Tacos Escalera 25x63mm 2Pcs | Pies de Escalera Pies de Goma para Escaleras Universales Antideslizante</x:v>
      </x:c>
      <x:c r="C277" s="4" t="str">
        <x:v>梯脚橡胶保护套</x:v>
      </x:c>
      <x:c r="D277" s="4" t="str">
        <x:v>覆盖适配梯脚以防滑保护</x:v>
      </x:c>
      <x:c r="E277" s="4" t="str">
        <x:v>观察</x:v>
      </x:c>
      <x:c r="F277" s="4" t="str">
        <x:v>专用或安装配件</x:v>
      </x:c>
      <x:c r="G277" s="4" t="str"/>
      <x:c r="H277" s="4" t="str"/>
      <x:c r="I277" s="4" t="str">
        <x:v>none</x:v>
      </x:c>
      <x:c r="J277" s="4" t="str">
        <x:v>主体为梯脚配件，通用声称仍需25x63毫米接口适配，不能当橡皮筋</x:v>
      </x:c>
      <x:c r="K277" s="4" t="str">
        <x:v>实际适配和防滑承载未核实</x:v>
      </x:c>
      <x:c r="L277" s="4" t="str">
        <x:v>https://www.amazon.es/Escalera-Escaleras-25x63mm-Universales-Antideslizante/dp/B0HDGYZCLQ?psc=1</x:v>
      </x:c>
      <x:c r="M277" s="4" t="str">
        <x:v>B0_84bacc4c6b66_007040</x:v>
      </x:c>
      <x:c r="N277" s="4" t="str">
        <x:v>d767429f9a060743ffd2e8ed959322de737a21b0239e75f8972aebf274567651</x:v>
      </x:c>
      <x:c r="O277" s="8"/>
      <x:c r="P277" s="8"/>
      <x:c r="Q277" s="8"/>
      <x:c r="R277" s="8"/>
    </x:row>
    <x:row r="278" ht="90" customHeight="1">
      <x:c r="A278" s="4" t="str">
        <x:v>P274</x:v>
      </x:c>
      <x:c r="B278" s="4" t="str">
        <x:v>Umami Bento Fiambrera, Cubiertos y Salsera Incluidos, Antigoteo, Microondas, Fiambrera Compartimentada para Adultos, Negro Ónix Y Beige, 1500 ml</x:v>
      </x:c>
      <x:c r="C278" s="4" t="str">
        <x:v>分格便当盒配餐具和酱料盒</x:v>
      </x:c>
      <x:c r="D278" s="4" t="str">
        <x:v>携带分装餐食</x:v>
      </x:c>
      <x:c r="E278" s="4" t="str">
        <x:v>观察</x:v>
      </x:c>
      <x:c r="F278" s="4" t="str">
        <x:v>参照仅覆盖套装部分</x:v>
      </x:c>
      <x:c r="G278" s="4" t="str">
        <x:v>3014697</x:v>
      </x:c>
      <x:c r="H278" s="4" t="str">
        <x:v>Fiambrera</x:v>
      </x:c>
      <x:c r="I278" s="4" t="str">
        <x:v>related_type</x:v>
      </x:c>
      <x:c r="J278" s="4" t="str">
        <x:v>便当盒参照只覆盖餐盒，未证明全部餐具和酱料盒组合；参照不足以支持完整销售主体</x:v>
      </x:c>
      <x:c r="K278" s="4" t="str">
        <x:v>防漏与微波适用性未核实</x:v>
      </x:c>
      <x:c r="L278" s="4" t="str">
        <x:v>https://www.amazon.es/Umami-Fiambrera-compartimentos-herm%C3%A9ticos-cubiertos/dp/B0788F45XM/ref=sr_1_3651_mod_primary_new?dib=eyJ2IjoiMSJ9.JpSa0lIbHYHVpfOctegCCLwB87aGsmIK2SA45blcr9bk8hkRh4vZbHoNH_HL5ooHREdaXUayTQC2jiYj1XW8QdfHCjWCBgWJvA5sgGH69pkyxyikAowTgAI-pnOB_AGL-VYC1GAICKuuWyXo5MSDZOJPY6Ii8ZTzGR-uU4rQB0pArRdXysuo2Cttku2skjYMIawW9MOa5IWHk7FGBtHsGD9LpZCOFC834WxnXbLC04b9pfKw3_vKkuBqJvVFKd-llpgQd908Bem9xtQUh3oh1qPBNpl526rdFU79CmtEeUs.3LgqEv-i5G3NynF9gy-IsLmPIGY_cgB0_cu3J3A9ISM&amp;dib_tag=se&amp;qid=1792600140&amp;s=kitchen&amp;sbo=RZvfv%2F%2FHxDF%2BO5021pAnSA%3D%3D&amp;sr=1-3651&amp;srs=88626813031&amp;xpid=CeuYXw3Vdr0Bg</x:v>
      </x:c>
      <x:c r="M278" s="4" t="str">
        <x:v>B0_84bacc4c6b66_020602</x:v>
      </x:c>
      <x:c r="N278" s="4" t="str">
        <x:v>ba23a048613f9c378a043d5c3bf2d9ae5a9bb0179e908fe0466cc5e9b6895b02</x:v>
      </x:c>
      <x:c r="O278" s="8"/>
      <x:c r="P278" s="8"/>
      <x:c r="Q278" s="8"/>
      <x:c r="R278" s="8"/>
    </x:row>
    <x:row r="279" ht="90" customHeight="1">
      <x:c r="A279" s="4" t="str">
        <x:v>P275</x:v>
      </x:c>
      <x:c r="B279" s="4" t="str">
        <x:v>DEEPLEE PLA Pro Filamento 1.75 mm, Blanco, Bobina 1 kg | Alta tenacidad, fácil impresión, precisión ±0.02 mm, baja obstrucción, compatible con FDM</x:v>
      </x:c>
      <x:c r="C279" s="4" t="str">
        <x:v>PLA打印耗材线材</x:v>
      </x:c>
      <x:c r="D279" s="4" t="str">
        <x:v>为适配FDM打印设备提供材料</x:v>
      </x:c>
      <x:c r="E279" s="4" t="str">
        <x:v>观察</x:v>
      </x:c>
      <x:c r="F279" s="4" t="str">
        <x:v>经营边界未确认</x:v>
      </x:c>
      <x:c r="G279" s="4" t="str"/>
      <x:c r="H279" s="4" t="str"/>
      <x:c r="I279" s="4" t="str">
        <x:v>none</x:v>
      </x:c>
      <x:c r="J279" s="4" t="str">
        <x:v>线材耗材不是打印整机，Pro字样与插线板品牌无关；打印耗材经营边界待确认</x:v>
      </x:c>
      <x:c r="K279" s="4" t="str">
        <x:v>尺寸精度、配方和兼容性未核实</x:v>
      </x:c>
      <x:c r="L279" s="4" t="str">
        <x:v>https://www.amazon.es/Filamento-tenacidad-impresi%C3%B3n-obstrucci%C3%B3n-compatible/dp/B0F3CSNW6W?psc=1</x:v>
      </x:c>
      <x:c r="M279" s="4" t="str">
        <x:v>B0_84bacc4c6b66_007774</x:v>
      </x:c>
      <x:c r="N279" s="4" t="str">
        <x:v>4623f998449ed5e99a627115fb30b466bff7e5231d253413989c17d7e94f3efe</x:v>
      </x:c>
      <x:c r="O279" s="8"/>
      <x:c r="P279" s="8"/>
      <x:c r="Q279" s="8"/>
      <x:c r="R279" s="8"/>
    </x:row>
    <x:row r="280" ht="90" customHeight="1">
      <x:c r="A280" s="4" t="str">
        <x:v>P276</x:v>
      </x:c>
      <x:c r="B280" s="4" t="str">
        <x:v>Guirnalda Luces Halloween Set de 3 Decoración LED con Temporizador 8 Modos | Calabaza Naranja, Araña Verde, Sombrero Bruja Violeta. Guirnalda Pilas para Interior y Exterior con 3 Ganchos Incluidos</x:v>
      </x:c>
      <x:c r="C280" s="4" t="str">
        <x:v>万圣节造型LED灯串</x:v>
      </x:c>
      <x:c r="D280" s="4" t="str">
        <x:v>节日氛围照明</x:v>
      </x:c>
      <x:c r="E280" s="4" t="str">
        <x:v>保留</x:v>
      </x:c>
      <x:c r="F280" s="4" t="str"/>
      <x:c r="G280" s="4" t="str">
        <x:v>3224557</x:v>
      </x:c>
      <x:c r="H280" s="4" t="str">
        <x:v>Guirnalda de luces LED</x:v>
      </x:c>
      <x:c r="I280" s="4" t="str">
        <x:v>same_type</x:v>
      </x:c>
      <x:c r="J280" s="4" t="str">
        <x:v>参照LED灯串同类，附带挂钩属于普通安装附件，不将自动模式当复杂机器</x:v>
      </x:c>
      <x:c r="K280" s="4" t="str">
        <x:v>防水和续航未核实</x:v>
      </x:c>
      <x:c r="L280" s="4" t="str">
        <x:v>https://www.amazon.es/Guirnalda-Halloween-Decoraci%C3%B3n-Temporizador-Incluidos/dp/B0H4T6RGZ7?psc=1</x:v>
      </x:c>
      <x:c r="M280" s="4" t="str">
        <x:v>B0_84bacc4c6b66_008865</x:v>
      </x:c>
      <x:c r="N280" s="4" t="str">
        <x:v>1cf52d19d5e1146d10d52867187eff630e16a3a0db95328c82d8b519ae94afd0</x:v>
      </x:c>
      <x:c r="O280" s="8"/>
      <x:c r="P280" s="8"/>
      <x:c r="Q280" s="8"/>
      <x:c r="R280" s="8"/>
    </x:row>
    <x:row r="281" ht="90" customHeight="1">
      <x:c r="A281" s="4" t="str">
        <x:v>P277</x:v>
      </x:c>
      <x:c r="B281" s="4" t="str">
        <x:v>KESPER Dispensador de láminas de bambú Certificado 58040</x:v>
      </x:c>
      <x:c r="C281" s="4" t="str">
        <x:v>片材分配器，适用材料待明</x:v>
      </x:c>
      <x:c r="D281" s="4" t="str">
        <x:v>分配取用片材，具体用途未明</x:v>
      </x:c>
      <x:c r="E281" s="4" t="str">
        <x:v>观察</x:v>
      </x:c>
      <x:c r="F281" s="4" t="str">
        <x:v>供货或形态信息不足</x:v>
      </x:c>
      <x:c r="G281" s="4" t="str"/>
      <x:c r="H281" s="4" t="str"/>
      <x:c r="I281" s="4" t="str">
        <x:v>none</x:v>
      </x:c>
      <x:c r="J281" s="4" t="str">
        <x:v>láminas与竹材组合不足以确认是否保鲜膜、铝箔或其他片材，肥皂分配器不能补来源</x:v>
      </x:c>
      <x:c r="K281" s="4" t="str">
        <x:v>供料种类与切割结构未说明</x:v>
      </x:c>
      <x:c r="L281" s="4" t="str">
        <x:v>https://www.amazon.es/Kesper-58040-Dispensador-Pantalla-marr%C3%B3n/dp/B06XTRZ3JL/ref=sr_1_652?dib=eyJ2IjoiMSJ9.RFbTsWEv8OBLD7E9S0R_RSIaFsrfdvrCuO6SKfXnrShkDegRqIYUum4LtXbUjk4iC0frgKxSUixZ_ZqUbS0kAhGj37nFbRGT1KpQoBslnuH0_mCXJi66QTc4fwJApXKuIbdEGXgmRbwuKuO8p01mX3tujugFsV7pIQi6GgdnZVZlA-Yq73ZVIDdPb2USfCW67RqLr8oKQ5IMuMTMxSLKfkBo2CIpjplK1eUl2GiqxbX72EWz1tg7MgY2Zxqg82qXPkxIDz8Az_OnzCpgdDy54wfmCa7C3HvkVwL1ESh9Qp0.4phOEvaocn-dcY4UuDJMi2IuBRbJhKcErG_Toy_eemw&amp;dib_tag=se&amp;qid=1792649406&amp;s=kitchen&amp;sr=1-652&amp;srs=88626813031&amp;xpid=qpnO31ULD-dQ4</x:v>
      </x:c>
      <x:c r="M281" s="4" t="str">
        <x:v>B0_84bacc4c6b66_011385</x:v>
      </x:c>
      <x:c r="N281" s="4" t="str">
        <x:v>55942b3a73f33c4a79b31d60ec11fc15ed75611d358a54d1042961fabdb5d129</x:v>
      </x:c>
      <x:c r="O281" s="8"/>
      <x:c r="P281" s="8"/>
      <x:c r="Q281" s="8"/>
      <x:c r="R281" s="8"/>
    </x:row>
    <x:row r="282" ht="90" customHeight="1">
      <x:c r="A282" s="4" t="str">
        <x:v>P278</x:v>
      </x:c>
      <x:c r="B282" s="4" t="str">
        <x:v>Contenedores de condimentos con , organizador de tarros de salsa de | Tarro de condimento para encimera de cocina, organizador de almacenamiento de alimentos, ollas de condimentos, tapas</x:v>
      </x:c>
      <x:c r="C282" s="4" t="str">
        <x:v>带盖调味料容器及收纳件</x:v>
      </x:c>
      <x:c r="D282" s="4" t="str">
        <x:v>存放调味料</x:v>
      </x:c>
      <x:c r="E282" s="4" t="str">
        <x:v>保留</x:v>
      </x:c>
      <x:c r="F282" s="4" t="str"/>
      <x:c r="G282" s="4" t="str">
        <x:v>2580021</x:v>
      </x:c>
      <x:c r="H282" s="4" t="str">
        <x:v>Tarro</x:v>
      </x:c>
      <x:c r="I282" s="4" t="str">
        <x:v>related_type</x:v>
      </x:c>
      <x:c r="J282" s="4" t="str">
        <x:v>主体可从多处调味罐表述确认，泛称储存罐只提供相关容器类型；缺词保留</x:v>
      </x:c>
      <x:c r="K282" s="4" t="str">
        <x:v>罐数、配件和材料未明确</x:v>
      </x:c>
      <x:c r="L282" s="4" t="str">
        <x:v>https://www.amazon.es/Contenedores-condimentos-organizador-condimento-almacenamiento/dp/B0HJY8CQH7?psc=1</x:v>
      </x:c>
      <x:c r="M282" s="4" t="str">
        <x:v>B0_84bacc4c6b66_005025</x:v>
      </x:c>
      <x:c r="N282" s="4" t="str">
        <x:v>49a3aa6f52a28a2aeeab5ee8f5829ff840dd4fce09f505cc1f226448bc8e7218</x:v>
      </x:c>
      <x:c r="O282" s="8"/>
      <x:c r="P282" s="8"/>
      <x:c r="Q282" s="8"/>
      <x:c r="R282" s="8"/>
    </x:row>
    <x:row r="283" ht="90" customHeight="1">
      <x:c r="A283" s="4" t="str">
        <x:v>P279</x:v>
      </x:c>
      <x:c r="B283" s="4" t="str">
        <x:v>Roboparts® Rodillo Antienredos para Xiaomi X20+ y X10+ | Recambio de cepillo central con cuchillas internas que cortan el pelo</x:v>
      </x:c>
      <x:c r="C283" s="4" t="str">
        <x:v>指定机器人防缠绕刷辊</x:v>
      </x:c>
      <x:c r="D283" s="4" t="str">
        <x:v>替换适配设备中央刷辊</x:v>
      </x:c>
      <x:c r="E283" s="4" t="str">
        <x:v>观察</x:v>
      </x:c>
      <x:c r="F283" s="4" t="str">
        <x:v>专用或安装配件</x:v>
      </x:c>
      <x:c r="G283" s="4" t="str"/>
      <x:c r="H283" s="4" t="str"/>
      <x:c r="I283" s="4" t="str">
        <x:v>none</x:v>
      </x:c>
      <x:c r="J283" s="4" t="str">
        <x:v>销售替换刷辊，不是发梳或机器人整机；内刀片属于来源声称</x:v>
      </x:c>
      <x:c r="K283" s="4" t="str">
        <x:v>宿主兼容和防缠绕效果未核实</x:v>
      </x:c>
      <x:c r="L283" s="4" t="str">
        <x:v>https://www.amazon.es/Roboparts%C2%AE-Antienredos-Recambio-cuchillas-internas/dp/B0HLJCCG8K?psc=1</x:v>
      </x:c>
      <x:c r="M283" s="4" t="str">
        <x:v>B0_84bacc4c6b66_017305</x:v>
      </x:c>
      <x:c r="N283" s="4" t="str">
        <x:v>65b1f945e0c2b3e2cbd111b3be53225fc7ad0ea82c3e77ff2e3b2603f3dc07aa</x:v>
      </x:c>
      <x:c r="O283" s="8"/>
      <x:c r="P283" s="8"/>
      <x:c r="Q283" s="8"/>
      <x:c r="R283" s="8"/>
    </x:row>
    <x:row r="284" ht="90" customHeight="1">
      <x:c r="A284" s="4" t="str">
        <x:v>P280</x:v>
      </x:c>
      <x:c r="B284" s="4" t="str">
        <x:v>Paquete de 8 soportes de estante de esquina resistentes, soportes triangulares de ángulo recto montados en la pared, soportes de estantería de 90 grados para almacenamiento de cocina en el hogar</x:v>
      </x:c>
      <x:c r="C284" s="4" t="str">
        <x:v>三角层板托架</x:v>
      </x:c>
      <x:c r="D284" s="4" t="str">
        <x:v>支撑墙面层板</x:v>
      </x:c>
      <x:c r="E284" s="4" t="str">
        <x:v>保留</x:v>
      </x:c>
      <x:c r="F284" s="4" t="str"/>
      <x:c r="G284" s="4" t="str">
        <x:v>3005729</x:v>
      </x:c>
      <x:c r="H284" s="4" t="str">
        <x:v>Soportes para estantes</x:v>
      </x:c>
      <x:c r="I284" s="4" t="str">
        <x:v>same_type</x:v>
      </x:c>
      <x:c r="J284" s="4" t="str">
        <x:v>参照层板支架同类，属于通用五金；不把所有螺钉安装物都升级为固定系统</x:v>
      </x:c>
      <x:c r="K284" s="4" t="str">
        <x:v>墙材与承重未核实</x:v>
      </x:c>
      <x:c r="L284" s="4" t="str">
        <x:v>https://www.amazon.es/soportes-resistentes-triangulares-estanter%C3%ADa-almacenamiento/dp/B0GTSKDSN5?psc=1</x:v>
      </x:c>
      <x:c r="M284" s="4" t="str">
        <x:v>B0_84bacc4c6b66_024879</x:v>
      </x:c>
      <x:c r="N284" s="4" t="str">
        <x:v>24ba3abba40b34cfe29e58e9ea19ea14ea1757b0acb5a045dd07cddfe4932c62</x:v>
      </x:c>
      <x:c r="O284" s="8"/>
      <x:c r="P284" s="8"/>
      <x:c r="Q284" s="8"/>
      <x:c r="R284" s="8"/>
    </x:row>
    <x:row r="285" ht="90" customHeight="1">
      <x:c r="A285" s="4" t="str">
        <x:v>P281</x:v>
      </x:c>
      <x:c r="B285" s="4" t="str">
        <x:v>Intercomunicador de Voz Inalámbrico Llamada de 2 Vías Indicador de Luz de Intercomunicador Inalámbrico Hogar a Prueba de Agua</x:v>
      </x:c>
      <x:c r="C285" s="4" t="str">
        <x:v>无线语音对讲设备</x:v>
      </x:c>
      <x:c r="D285" s="4" t="str">
        <x:v>室内双向语音联络</x:v>
      </x:c>
      <x:c r="E285" s="4" t="str">
        <x:v>观察</x:v>
      </x:c>
      <x:c r="F285" s="4" t="str">
        <x:v>经营边界未确认</x:v>
      </x:c>
      <x:c r="G285" s="4" t="str"/>
      <x:c r="H285" s="4" t="str"/>
      <x:c r="I285" s="4" t="str">
        <x:v>none</x:v>
      </x:c>
      <x:c r="J285" s="4" t="str">
        <x:v>对讲主体明确，单向无线音箱或麦克风不证明对讲系统参照</x:v>
      </x:c>
      <x:c r="K285" s="4" t="str">
        <x:v>设备数量、通信距离和防水未核实</x:v>
      </x:c>
      <x:c r="L285" s="4" t="str">
        <x:v>https://www.amazon.es/Intercomunicador-Inal%C3%A1mbrico-Llamada-Indicador-Prueba/dp/B0CC6MN1WZ?psc=1</x:v>
      </x:c>
      <x:c r="M285" s="4" t="str">
        <x:v>B0_84bacc4c6b66_010348</x:v>
      </x:c>
      <x:c r="N285" s="4" t="str">
        <x:v>5b287df89d68a275f55ce0ddf1d500689a17b84b59413c4c8fd80c779f4c3cb1</x:v>
      </x:c>
      <x:c r="O285" s="8"/>
      <x:c r="P285" s="8"/>
      <x:c r="Q285" s="8"/>
      <x:c r="R285" s="8"/>
    </x:row>
    <x:row r="286" ht="90" customHeight="1">
      <x:c r="A286" s="4" t="str">
        <x:v>P282</x:v>
      </x:c>
      <x:c r="B286" s="4" t="str">
        <x:v>Eyliden Cubo Plegable, Cubo para Limpieza de fregona, Cubo de Agua Plegable Multiusos de 10 L, Cesta práctica portátil para Limpiar fregonas, Camping, portón Trasero y más</x:v>
      </x:c>
      <x:c r="C286" s="4" t="str">
        <x:v>折叠水桶</x:v>
      </x:c>
      <x:c r="D286" s="4" t="str">
        <x:v>盛水清洁或露营使用</x:v>
      </x:c>
      <x:c r="E286" s="4" t="str">
        <x:v>保留</x:v>
      </x:c>
      <x:c r="F286" s="4" t="str"/>
      <x:c r="G286" s="4" t="str">
        <x:v>2568526</x:v>
      </x:c>
      <x:c r="H286" s="4" t="str">
        <x:v>Cubo plegable</x:v>
      </x:c>
      <x:c r="I286" s="4" t="str">
        <x:v>same_type</x:v>
      </x:c>
      <x:c r="J286" s="4" t="str">
        <x:v>参照折叠桶同类，不将用途场景当成汽车尾门附件</x:v>
      </x:c>
      <x:c r="K286" s="4" t="str">
        <x:v>容量和耐漏性能未核实</x:v>
      </x:c>
      <x:c r="L286" s="4" t="str">
        <x:v>https://www.amazon.es/Eyliden-plegable-limpieza-multiusos-port%C3%A1til/dp/B08KD93R6C/ref=sr_1_4237?dib=eyJ2IjoiMSJ9.OiOqWgVNv3xP35HeTWf7p0yyMD_Te1FVtUc6S6UCf3_6G8A_GY4GPht8Nmd4mPxonZBE_YHB4ri2AGpOaNHFldSxPfFMmVr-3QcsOqTSvwveuBFbIKS3EkDO9Brwlw7Tp8lficJjZJ2l7hdv9f2qN91H00RjtKXJO4selds-nqsYWWMoU4fwm_2FvFEJl4RTvUQIrmqmEcQYuPHJIwoTWhzLm0z8Lfi_zF_2OzrnCCUGJI9IRl9lFdqKAle5D5zzDJMlw7zIp9r6ScoyjZzNhaqWyy-MxPDo9ZKVN2C3NlY.7OJ4tmU44P44J2VSKiidCccdLy_Xg1mK3mYoUIKH43Q&amp;dib_tag=se&amp;qid=1792600883&amp;s=kitchen&amp;sr=1-4237&amp;srs=88626813031&amp;xpid=CeuYXw3Vdr0Bg</x:v>
      </x:c>
      <x:c r="M286" s="4" t="str">
        <x:v>B0_84bacc4c6b66_007387</x:v>
      </x:c>
      <x:c r="N286" s="4" t="str">
        <x:v>b780bebb0f3df4a222eabcb1f79d5cad94710473d4e6b65a8de0f735fd41a7cf</x:v>
      </x:c>
      <x:c r="O286" s="8"/>
      <x:c r="P286" s="8"/>
      <x:c r="Q286" s="8"/>
      <x:c r="R286" s="8"/>
    </x:row>
    <x:row r="287" ht="90" customHeight="1">
      <x:c r="A287" s="4" t="str">
        <x:v>P283</x:v>
      </x:c>
      <x:c r="B287" s="4" t="str">
        <x:v>Planta Artificial Ave del Paraíso 200cm Plantas Artificiales Decorativas con 15 Hojas de Plátano,Planta Artificial Grande Interior con Maceta Blanca para Decoracion Hogar Salon Casa Room Decor</x:v>
      </x:c>
      <x:c r="C287" s="4" t="str">
        <x:v>大型盆装仿真植物</x:v>
      </x:c>
      <x:c r="D287" s="4" t="str">
        <x:v>室内陈设装饰</x:v>
      </x:c>
      <x:c r="E287" s="4" t="str">
        <x:v>观察</x:v>
      </x:c>
      <x:c r="F287" s="4" t="str">
        <x:v>经营边界未确认</x:v>
      </x:c>
      <x:c r="G287" s="4" t="str">
        <x:v>3224903</x:v>
      </x:c>
      <x:c r="H287" s="4" t="str">
        <x:v>Planta artificial en maceta decorativa</x:v>
      </x:c>
      <x:c r="I287" s="4" t="str">
        <x:v>same_type</x:v>
      </x:c>
      <x:c r="J287" s="4" t="str">
        <x:v>参照盆装仿真植物同类；200厘米大型陈设的货盘形态需复核</x:v>
      </x:c>
      <x:c r="K287" s="4" t="str">
        <x:v>尺寸、稳定性和材质未核实</x:v>
      </x:c>
      <x:c r="L287" s="4" t="str">
        <x:v>https://www.amazon.es/ZEEOZE-Artificial-Tropical-Decoraci%C3%B3n-Dormitorios/dp/B0CR7HXTMR/ref=sr_1_3462?dib=eyJ2IjoiMSJ9.JUmzXXdWxl6ajkvE4ioJ-7m9otyM-rU1fDUwYLdBi92igdlclCivlrlX4Kh6iTEI5ZRHUiXyoYDWsTQTCdb5YtXpbeaUfWt-AGWC4Rz3iEzdZH6hSo1WdniE9TRUus5rW9asRRATIZ9BCo6n_38ricMKEWsxYyoR290744XYOy0xyxqt3kvlZ_F5_KsM4SoKtKTn-qygpJkN-q-Ktl7bSLgDP48NTNfkFJQSRo9893bYRIplRz4s4ABrSKtWJA7LJvQGB1_eoZ5horEkvkSAPJ5v3vXNdZYuqkzAnN1bPOg.6shIDYi_xsTgA24yLJ9Ynbc9HQIPCfFRwGEYeT4IY0E&amp;dib_tag=se&amp;qid=1792652152&amp;s=kitchen&amp;sr=1-3462&amp;srs=88626813031&amp;xpid=qpnO31ULD-dQ4</x:v>
      </x:c>
      <x:c r="M287" s="4" t="str">
        <x:v>B0_84bacc4c6b66_022780</x:v>
      </x:c>
      <x:c r="N287" s="4" t="str">
        <x:v>7de36205bbb344f1e17f7c6f0bc656f84468f23ee8647a96ed9d04abdf53c5f6</x:v>
      </x:c>
      <x:c r="O287" s="8"/>
      <x:c r="P287" s="8"/>
      <x:c r="Q287" s="8"/>
      <x:c r="R287" s="8"/>
    </x:row>
    <x:row r="288" ht="90" customHeight="1">
      <x:c r="A288" s="4" t="str">
        <x:v>P284</x:v>
      </x:c>
      <x:c r="B288" s="4" t="str">
        <x:v>Polti Vaporetto Smart 120, Limpiador a Vapor con Caldera, 4 Bar</x:v>
      </x:c>
      <x:c r="C288" s="4" t="str">
        <x:v>带锅炉蒸汽清洁机</x:v>
      </x:c>
      <x:c r="D288" s="4" t="str">
        <x:v>以蒸汽辅助清洁表面</x:v>
      </x:c>
      <x:c r="E288" s="4" t="str">
        <x:v>观察</x:v>
      </x:c>
      <x:c r="F288" s="4" t="str">
        <x:v>经营边界未确认</x:v>
      </x:c>
      <x:c r="G288" s="4" t="str">
        <x:v>3224611</x:v>
      </x:c>
      <x:c r="H288" s="4" t="str">
        <x:v>Limpiador a vapor Leifheit CleanTenso Power</x:v>
      </x:c>
      <x:c r="I288" s="4" t="str">
        <x:v>same_type</x:v>
      </x:c>
      <x:c r="J288" s="4" t="str">
        <x:v>参照蒸汽清洁机同类，型号Smart不代表智能灯具</x:v>
      </x:c>
      <x:c r="K288" s="4" t="str">
        <x:v>压力和表面适用性未核实</x:v>
      </x:c>
      <x:c r="L288" s="4" t="str">
        <x:v>https://www.amazon.es/Polti-Vaporetto-Limpiador-Calentamiento-Accesorios/dp/B084WBSQJL?psc=1</x:v>
      </x:c>
      <x:c r="M288" s="4" t="str">
        <x:v>B0_84bacc4c6b66_016025</x:v>
      </x:c>
      <x:c r="N288" s="4" t="str">
        <x:v>184c1e9b449ce060a044828856346aa2635fdd05eb21e920889db63cb7400637</x:v>
      </x:c>
      <x:c r="O288" s="8"/>
      <x:c r="P288" s="8"/>
      <x:c r="Q288" s="8"/>
      <x:c r="R288" s="8"/>
    </x:row>
    <x:row r="289" ht="90" customHeight="1">
      <x:c r="A289" s="4" t="str">
        <x:v>P285</x:v>
      </x:c>
      <x:c r="B289" s="4" t="str">
        <x:v>Espumador de leche eléctrico, 14000 RPM, doble batidor para café y matcha | Doble batidor de acero inoxidable 304, 14000 RPM, espumador de leche a pilas para cappuccino, latte, cacao y batidos</x:v>
      </x:c>
      <x:c r="C289" s="4" t="str">
        <x:v>电动奶泡搅拌器</x:v>
      </x:c>
      <x:c r="D289" s="4" t="str">
        <x:v>搅打奶泡或混合饮品</x:v>
      </x:c>
      <x:c r="E289" s="4" t="str">
        <x:v>观察</x:v>
      </x:c>
      <x:c r="F289" s="4" t="str">
        <x:v>经营边界未确认</x:v>
      </x:c>
      <x:c r="G289" s="4" t="str">
        <x:v>3011080</x:v>
      </x:c>
      <x:c r="H289" s="4" t="str">
        <x:v>Espumador de leche DAY</x:v>
      </x:c>
      <x:c r="I289" s="4" t="str">
        <x:v>same_type</x:v>
      </x:c>
      <x:c r="J289" s="4" t="str">
        <x:v>真实奶泡器参照存在，仍沿用冻结小家电边界</x:v>
      </x:c>
      <x:c r="K289" s="4" t="str">
        <x:v>转速、材质及打泡性能未核实</x:v>
      </x:c>
      <x:c r="L289" s="4" t="str">
        <x:v>https://www.amazon.es/Espumador-leche-el%C3%A9ctrico-batidor-matcha/dp/B0H6HQJZ38?psc=1</x:v>
      </x:c>
      <x:c r="M289" s="4" t="str">
        <x:v>B0_84bacc4c6b66_007171</x:v>
      </x:c>
      <x:c r="N289" s="4" t="str">
        <x:v>7fd930cdc434f4bff0d27a2fecb988a1f1de2a5e112fffa6096a4c604b3e220e</x:v>
      </x:c>
      <x:c r="O289" s="8"/>
      <x:c r="P289" s="8"/>
      <x:c r="Q289" s="8"/>
      <x:c r="R289" s="8"/>
    </x:row>
    <x:row r="290" ht="90" customHeight="1">
      <x:c r="A290" s="4" t="str">
        <x:v>P286</x:v>
      </x:c>
      <x:c r="B290" s="4" t="str">
        <x:v>VEVOR Motor para Puerta Seccional de Garaje Fuerza 1000 N Riel de Correa | Operación de Bajo Ruido, con 2 Interruptores de Control Remoto y Luz LED, Kit de Accesorios de Instalación, Uso Doméstico</x:v>
      </x:c>
      <x:c r="C290" s="4" t="str">
        <x:v>车库门驱动及控制套件</x:v>
      </x:c>
      <x:c r="D290" s="4" t="str">
        <x:v>带动适配车库门开闭</x:v>
      </x:c>
      <x:c r="E290" s="4" t="str">
        <x:v>观察</x:v>
      </x:c>
      <x:c r="F290" s="4" t="str">
        <x:v>经营边界未确认</x:v>
      </x:c>
      <x:c r="G290" s="4" t="str"/>
      <x:c r="H290" s="4" t="str"/>
      <x:c r="I290" s="4" t="str">
        <x:v>none</x:v>
      </x:c>
      <x:c r="J290" s="4" t="str">
        <x:v>标题含驱动、轨道与遥控，属于门机系统候选；灯光只是附件，不以旧个案裁定泛化排除</x:v>
      </x:c>
      <x:c r="K290" s="4" t="str">
        <x:v>门体适配和系统完整性未核实</x:v>
      </x:c>
      <x:c r="L290" s="4" t="str">
        <x:v>https://www.amazon.es/VEVOR-Puerta-Seccional-Garaje-Fuerza/dp/B0HJFZ8JVF?psc=1</x:v>
      </x:c>
      <x:c r="M290" s="4" t="str">
        <x:v>B0_84bacc4c6b66_021039</x:v>
      </x:c>
      <x:c r="N290" s="4" t="str">
        <x:v>fa5dd60ac7fd6202c776bb6a9333601f8b9f484fb9c8e8843adcef797a073f3c</x:v>
      </x:c>
      <x:c r="O290" s="8"/>
      <x:c r="P290" s="8"/>
      <x:c r="Q290" s="8"/>
      <x:c r="R290" s="8"/>
    </x:row>
    <x:row r="291" ht="90" customHeight="1">
      <x:c r="A291" s="4" t="str">
        <x:v>P287</x:v>
      </x:c>
      <x:c r="B291" s="4" t="str">
        <x:v>Lamptobe Sin Cable Luces Tocador Recargable con Indicador de Batería | Luz de Espejo, Mando Distancia, 5 Temperaturas de Color y Regulable, Montaje Magnético Adhesivo Iluminación para Tocador Baño</x:v>
      </x:c>
      <x:c r="C291" s="4" t="str">
        <x:v>可充电梳妆照明灯</x:v>
      </x:c>
      <x:c r="D291" s="4" t="str">
        <x:v>补充镜前照明</x:v>
      </x:c>
      <x:c r="E291" s="4" t="str">
        <x:v>保留</x:v>
      </x:c>
      <x:c r="F291" s="4" t="str"/>
      <x:c r="G291" s="4" t="str">
        <x:v>3216023</x:v>
      </x:c>
      <x:c r="H291" s="4" t="str">
        <x:v>Espejo para maquillar con iluminación</x:v>
      </x:c>
      <x:c r="I291" s="4" t="str">
        <x:v>specific_need</x:v>
      </x:c>
      <x:c r="J291" s="4" t="str">
        <x:v>带灯化妆镜可参照近距离梳妆照明需求，源是独立灯而不含镜，理由保留这种供货差异</x:v>
      </x:c>
      <x:c r="K291" s="4" t="str">
        <x:v>安装和续航未核实</x:v>
      </x:c>
      <x:c r="L291" s="4" t="str">
        <x:v>https://www.amazon.es/Lamptobe-Tocador-Recargable-Indicador-Bater%C3%ADa/dp/B0GYW5KL5T?psc=1</x:v>
      </x:c>
      <x:c r="M291" s="4" t="str">
        <x:v>B0_84bacc4c6b66_012018</x:v>
      </x:c>
      <x:c r="N291" s="4" t="str">
        <x:v>338ce5ccc062b14908817935c3ee6ae3fda940a6b3ef31b6cb6e4400ae9065ab</x:v>
      </x:c>
      <x:c r="O291" s="8"/>
      <x:c r="P291" s="8"/>
      <x:c r="Q291" s="8"/>
      <x:c r="R291" s="8"/>
    </x:row>
    <x:row r="292" ht="90" customHeight="1">
      <x:c r="A292" s="4" t="str">
        <x:v>P288</x:v>
      </x:c>
      <x:c r="B292" s="4" t="str">
        <x:v>Bobina de Encendido 1PZ UK3-CN5 con Bujía de Repuesto para Honda GX120 GX140 GX160 GX168 GX200 Predator 4HP 5.5HP 6.5HP 212CC Motor Generador Cortacésped</x:v>
      </x:c>
      <x:c r="C292" s="4" t="str">
        <x:v>发动机点火线圈配火花塞</x:v>
      </x:c>
      <x:c r="D292" s="4" t="str">
        <x:v>维护适配小型发动机点火</x:v>
      </x:c>
      <x:c r="E292" s="4" t="str">
        <x:v>观察</x:v>
      </x:c>
      <x:c r="F292" s="4" t="str">
        <x:v>专用或安装配件</x:v>
      </x:c>
      <x:c r="G292" s="4" t="str"/>
      <x:c r="H292" s="4" t="str"/>
      <x:c r="I292" s="4" t="str">
        <x:v>none</x:v>
      </x:c>
      <x:c r="J292" s="4" t="str">
        <x:v>电气替换部件不是发电机或割草机整机，机油也不证明接口同类</x:v>
      </x:c>
      <x:c r="K292" s="4" t="str">
        <x:v>发动机型号适配未核实</x:v>
      </x:c>
      <x:c r="L292" s="4" t="str">
        <x:v>https://www.amazon.es/1PZ-encendido-Honda-generador-cortac%C3%A9sped/dp/B0BCVT47T2?psc=1</x:v>
      </x:c>
      <x:c r="M292" s="4" t="str">
        <x:v>B0_84bacc4c6b66_000067</x:v>
      </x:c>
      <x:c r="N292" s="4" t="str">
        <x:v>39521da00e3a243b2015719928301961208e2fa451e0a9074532fbad5b7ffb12</x:v>
      </x:c>
      <x:c r="O292" s="8"/>
      <x:c r="P292" s="8"/>
      <x:c r="Q292" s="8"/>
      <x:c r="R292" s="8"/>
    </x:row>
    <x:row r="293" ht="90" customHeight="1">
      <x:c r="A293" s="4" t="str">
        <x:v>P289</x:v>
      </x:c>
      <x:c r="B293" s="4" t="str">
        <x:v>BEAMARKER 18 madeja de 147 yardas de Hilo de Bordar Colorido de 6 cabos para Punto de Cruz, Hilo de Algodón para Bordar, Hilo para Pulseras de la Amistad para Coser, Manualidades, Cumpleaños, Bodas, C</x:v>
      </x:c>
      <x:c r="C293" s="4" t="str">
        <x:v>多色棉质绣线</x:v>
      </x:c>
      <x:c r="D293" s="4" t="str">
        <x:v>刺绣或编织饰物</x:v>
      </x:c>
      <x:c r="E293" s="4" t="str">
        <x:v>保留</x:v>
      </x:c>
      <x:c r="F293" s="4" t="str"/>
      <x:c r="G293" s="4" t="str">
        <x:v>3224283</x:v>
      </x:c>
      <x:c r="H293" s="4" t="str">
        <x:v>Hilos de bordar</x:v>
      </x:c>
      <x:c r="I293" s="4" t="str">
        <x:v>same_type</x:v>
      </x:c>
      <x:c r="J293" s="4" t="str">
        <x:v>参照同为绣线，生日婚礼是用途而非主体</x:v>
      </x:c>
      <x:c r="K293" s="4" t="str">
        <x:v>线长、股数和材质未独立核实</x:v>
      </x:c>
      <x:c r="L293" s="4" t="str">
        <x:v>https://www.amazon.es/BEAMARKER-Colorido-Pulseras-Manualidades-Cumplea%C3%B1os/dp/B0H549V3Q3?psc=1</x:v>
      </x:c>
      <x:c r="M293" s="4" t="str">
        <x:v>B0_84bacc4c6b66_002114</x:v>
      </x:c>
      <x:c r="N293" s="4" t="str">
        <x:v>aa6f76b1e7cee5cc540fbe00e6adaec6f21b85c5508f5c7352846e92c354f60a</x:v>
      </x:c>
      <x:c r="O293" s="8"/>
      <x:c r="P293" s="8"/>
      <x:c r="Q293" s="8"/>
      <x:c r="R293" s="8"/>
    </x:row>
    <x:row r="294" ht="90" customHeight="1">
      <x:c r="A294" s="4" t="str">
        <x:v>P290</x:v>
      </x:c>
      <x:c r="B294" s="4" t="str">
        <x:v>ECODE® Ozonizador Purificador de Aire | Generador de Ozono Portátil Eliminador y Absorbe de Olores Humedad, Humo, Baño, Mascotas y Cualquier Olor Agua y Alimentos con Mando Distancia y Programable</x:v>
      </x:c>
      <x:c r="C294" s="4" t="str">
        <x:v>臭氧发生净化设备</x:v>
      </x:c>
      <x:c r="D294" s="4" t="str">
        <x:v>来源声称用于除味净化</x:v>
      </x:c>
      <x:c r="E294" s="4" t="str">
        <x:v>观察</x:v>
      </x:c>
      <x:c r="F294" s="4" t="str">
        <x:v>经营边界未确认</x:v>
      </x:c>
      <x:c r="G294" s="4" t="str"/>
      <x:c r="H294" s="4" t="str"/>
      <x:c r="I294" s="4" t="str">
        <x:v>none</x:v>
      </x:c>
      <x:c r="J294" s="4" t="str">
        <x:v>主体为臭氧设备，浴室除味剂不构成同类机器证据，经营边界需确认</x:v>
      </x:c>
      <x:c r="K294" s="4" t="str">
        <x:v>臭氧浓度、净化效果和使用条件未核实</x:v>
      </x:c>
      <x:c r="L294" s="4" t="str">
        <x:v>https://www.amazon.es/ECO-Generador-Distancia-programable-purificador/dp/B07B8QMTB7?psc=1</x:v>
      </x:c>
      <x:c r="M294" s="4" t="str">
        <x:v>B0_84bacc4c6b66_006480</x:v>
      </x:c>
      <x:c r="N294" s="4" t="str">
        <x:v>045fd3f0548cf5aa3a189e3ffc70ef185ced001a402979b18864785bce77cada</x:v>
      </x:c>
      <x:c r="O294" s="8"/>
      <x:c r="P294" s="8"/>
      <x:c r="Q294" s="8"/>
      <x:c r="R294" s="8"/>
    </x:row>
    <x:row r="295" ht="90" customHeight="1">
      <x:c r="A295" s="4" t="str">
        <x:v>P291</x:v>
      </x:c>
      <x:c r="B295" s="4" t="str">
        <x:v>ALLPOWERS S200 Estación de Energía Portátil 200W 154Wh Generador Solar Batería de Almacenamiento de Energía Móvil Adecuada Para Acampar Teléfonos Móviles Computadoras Portátiles Viajes RV Emergencia</x:v>
      </x:c>
      <x:c r="C295" s="4" t="str">
        <x:v>便携储能电源</x:v>
      </x:c>
      <x:c r="D295" s="4" t="str">
        <x:v>户外或应急供电</x:v>
      </x:c>
      <x:c r="E295" s="4" t="str">
        <x:v>观察</x:v>
      </x:c>
      <x:c r="F295" s="4" t="str">
        <x:v>经营边界未确认</x:v>
      </x:c>
      <x:c r="G295" s="4" t="str">
        <x:v>3216220</x:v>
      </x:c>
      <x:c r="H295" s="4" t="str">
        <x:v>Batería externa portátil Sitecom</x:v>
      </x:c>
      <x:c r="I295" s="4" t="str">
        <x:v>related_type</x:v>
      </x:c>
      <x:c r="J295" s="4" t="str">
        <x:v>充电宝支持便携供电的相近需求，但电站输出结构和容量不同，不能凭此直接放行</x:v>
      </x:c>
      <x:c r="K295" s="4" t="str">
        <x:v>电池化学体系和太阳能板是否包含未说明</x:v>
      </x:c>
      <x:c r="L295" s="4" t="str">
        <x:v>https://www.amazon.es/ALLPOWERS-Almacenamiento-Computadoras-Port%C3%A1tiles-Emergencia/dp/B0DNQFJK51?psc=1</x:v>
      </x:c>
      <x:c r="M295" s="4" t="str">
        <x:v>B0_84bacc4c6b66_000341</x:v>
      </x:c>
      <x:c r="N295" s="4" t="str">
        <x:v>b316b64d2d5f2bcec0ab75206fd6db78507f5883c485ef0ed592d981e7ceed36</x:v>
      </x:c>
      <x:c r="O295" s="8"/>
      <x:c r="P295" s="8"/>
      <x:c r="Q295" s="8"/>
      <x:c r="R295" s="8"/>
    </x:row>
    <x:row r="296" ht="90" customHeight="1">
      <x:c r="A296" s="4" t="str">
        <x:v>P292</x:v>
      </x:c>
      <x:c r="B296" s="4" t="str">
        <x:v>HAUSPROFI Panera de bambú de 1 nivel | Paneras de madera con tabla de cortar, ventilación ondulada, ventana visible, elegante panera de cocina para guardar pan</x:v>
      </x:c>
      <x:c r="C296" s="4" t="str">
        <x:v>带砧板的竹制面包箱</x:v>
      </x:c>
      <x:c r="D296" s="4" t="str">
        <x:v>收存面包并辅助切片</x:v>
      </x:c>
      <x:c r="E296" s="4" t="str">
        <x:v>观察</x:v>
      </x:c>
      <x:c r="F296" s="4" t="str">
        <x:v>参照仅覆盖套装部分</x:v>
      </x:c>
      <x:c r="G296" s="4" t="str">
        <x:v>3224699</x:v>
      </x:c>
      <x:c r="H296" s="4" t="str">
        <x:v>Tabla de cortar de madera MasterChef</x:v>
      </x:c>
      <x:c r="I296" s="4" t="str">
        <x:v>related_type</x:v>
      </x:c>
      <x:c r="J296" s="4" t="str">
        <x:v>砧板参照只覆盖套装一部分，不能替代面包储存箱主体的证据；参照不足以支持完整销售主体</x:v>
      </x:c>
      <x:c r="K296" s="4" t="str">
        <x:v>通风和整套结构未核实</x:v>
      </x:c>
      <x:c r="L296" s="4" t="str">
        <x:v>https://www.amazon.es/HAUSPROFI-Paneras-ventilaci%C3%B3n-ondulada-elegante/dp/B0H6F735KQ?psc=1</x:v>
      </x:c>
      <x:c r="M296" s="4" t="str">
        <x:v>B0_84bacc4c6b66_008986</x:v>
      </x:c>
      <x:c r="N296" s="4" t="str">
        <x:v>26c87bf0bf0e0419722316d45705aed48b5319b3c915f22a2958b48cc099b963</x:v>
      </x:c>
      <x:c r="O296" s="8"/>
      <x:c r="P296" s="8"/>
      <x:c r="Q296" s="8"/>
      <x:c r="R296" s="8"/>
    </x:row>
    <x:row r="297" ht="90" customHeight="1">
      <x:c r="A297" s="4" t="str">
        <x:v>P293</x:v>
      </x:c>
      <x:c r="B297" s="4" t="str">
        <x:v>obturador – antracita – composable – Legrand plexo 069837l</x:v>
      </x:c>
      <x:c r="C297" s="4" t="str">
        <x:v>模块封闭件，具体用途待明</x:v>
      </x:c>
      <x:c r="D297" s="4" t="str">
        <x:v>遮封开口，应用场景不足</x:v>
      </x:c>
      <x:c r="E297" s="4" t="str">
        <x:v>观察</x:v>
      </x:c>
      <x:c r="F297" s="4" t="str">
        <x:v>供货或形态信息不足</x:v>
      </x:c>
      <x:c r="G297" s="4" t="str"/>
      <x:c r="H297" s="4" t="str"/>
      <x:c r="I297" s="4" t="str">
        <x:v>none</x:v>
      </x:c>
      <x:c r="J297" s="4" t="str">
        <x:v>仅obturador、品牌和编号不足以确认电气面板盖或其他封闭件，颜色不能关联毛巾</x:v>
      </x:c>
      <x:c r="K297" s="4" t="str">
        <x:v>具体宿主与供货形态未明确</x:v>
      </x:c>
      <x:c r="L297" s="4" t="str">
        <x:v>https://www.amazon.es/Plexo-Legrand-Tapacubos-herm%C3%A9ticos-color/dp/B0BKT2FMKZ?psc=1</x:v>
      </x:c>
      <x:c r="M297" s="4" t="str">
        <x:v>B0_84bacc4c6b66_015992</x:v>
      </x:c>
      <x:c r="N297" s="4" t="str">
        <x:v>9814288e9e54b2259d2b0ec6f6ff60d8b12a5ed2f17535a49dbaea3b53177a03</x:v>
      </x:c>
      <x:c r="O297" s="8"/>
      <x:c r="P297" s="8"/>
      <x:c r="Q297" s="8"/>
      <x:c r="R297" s="8"/>
    </x:row>
    <x:row r="298" ht="90" customHeight="1">
      <x:c r="A298" s="4" t="str">
        <x:v>P294</x:v>
      </x:c>
      <x:c r="B298" s="4" t="str">
        <x:v>Bialetti Café Mocha Vaso 250g (con Tapón) Vaso</x:v>
      </x:c>
      <x:c r="C298" s="4" t="str">
        <x:v>咖啡相关商品，供货内容待明</x:v>
      </x:c>
      <x:c r="D298" s="4" t="str">
        <x:v>品名混杂咖啡、杯和克重</x:v>
      </x:c>
      <x:c r="E298" s="4" t="str">
        <x:v>观察</x:v>
      </x:c>
      <x:c r="F298" s="4" t="str">
        <x:v>供货或形态信息不足</x:v>
      </x:c>
      <x:c r="G298" s="4" t="str"/>
      <x:c r="H298" s="4" t="str"/>
      <x:c r="I298" s="4" t="str">
        <x:v>none</x:v>
      </x:c>
      <x:c r="J298" s="4" t="str">
        <x:v>250g与Vaso及带盖并列，不能稳妥判断咖啡内容物还是储存容器，不直接归为杯子</x:v>
      </x:c>
      <x:c r="K298" s="4" t="str">
        <x:v>咖啡与容器哪个是销售主体未明</x:v>
      </x:c>
      <x:c r="L298" s="4" t="str">
        <x:v>https://www.amazon.es/Bialetti-DCDESIGN07-Alrededor-Vidrio-Transparente/dp/B07NW7XFP3?psc=1</x:v>
      </x:c>
      <x:c r="M298" s="4" t="str">
        <x:v>B0_84bacc4c6b66_002799</x:v>
      </x:c>
      <x:c r="N298" s="4" t="str">
        <x:v>0ad9e5e7366d0102f576a6cc16dc327c684e4e37dfb8be8d0f4f646d51763f29</x:v>
      </x:c>
      <x:c r="O298" s="8"/>
      <x:c r="P298" s="8"/>
      <x:c r="Q298" s="8"/>
      <x:c r="R298" s="8"/>
    </x:row>
    <x:row r="299" ht="90" customHeight="1">
      <x:c r="A299" s="4" t="str">
        <x:v>P295</x:v>
      </x:c>
      <x:c r="B299" s="4" t="str">
        <x:v>Act Cable de alimentación IEC de 2,5 m, Cable C13, Cable de alimentación para PC, CEE 7/7 a C13 de 3 Clavijas - Contacto de Puesta a Tierra - AK5010 Negro</x:v>
      </x:c>
      <x:c r="C299" s="4" t="str">
        <x:v>IEC C13电源线</x:v>
      </x:c>
      <x:c r="D299" s="4" t="str">
        <x:v>为适配设备接通市电</x:v>
      </x:c>
      <x:c r="E299" s="4" t="str">
        <x:v>保留</x:v>
      </x:c>
      <x:c r="F299" s="4" t="str"/>
      <x:c r="G299" s="4" t="str">
        <x:v>2520460</x:v>
      </x:c>
      <x:c r="H299" s="4" t="str">
        <x:v>Alargador de enchufes Pro-Max</x:v>
      </x:c>
      <x:c r="I299" s="4" t="str">
        <x:v>related_type</x:v>
      </x:c>
      <x:c r="J299" s="4" t="str">
        <x:v>市电延长线可参照通电连接需求，但C13端头与插排输出不同，不声明通用互换</x:v>
      </x:c>
      <x:c r="K299" s="4" t="str">
        <x:v>额定电流、接地和接口适配未核实</x:v>
      </x:c>
      <x:c r="L299" s="4" t="str">
        <x:v>https://www.amazon.es/Advanced-Cable-Macho-Hembra-Negro/dp/B0077AZA88?psc=1</x:v>
      </x:c>
      <x:c r="M299" s="4" t="str">
        <x:v>B0_84bacc4c6b66_000873</x:v>
      </x:c>
      <x:c r="N299" s="4" t="str">
        <x:v>18a3bfa6968846c388d6ef09ae425922d4421286a5c1e8dea6552c06715022d6</x:v>
      </x:c>
      <x:c r="O299" s="8"/>
      <x:c r="P299" s="8"/>
      <x:c r="Q299" s="8"/>
      <x:c r="R299" s="8"/>
    </x:row>
    <x:row r="300" ht="90" customHeight="1">
      <x:c r="A300" s="4" t="str">
        <x:v>P296</x:v>
      </x:c>
      <x:c r="B300" s="4" t="str">
        <x:v>WMF Profi Select - Juego de 7 Piezas, 6 Cuchillos con Soporte de madera lacado en Color Gris, Hoja de Acero Templado con Filo de Larga Duración</x:v>
      </x:c>
      <x:c r="C300" s="4" t="str">
        <x:v>六把刀及木制刀架套装</x:v>
      </x:c>
      <x:c r="D300" s="4" t="str">
        <x:v>切配食材并收纳刀具</x:v>
      </x:c>
      <x:c r="E300" s="4" t="str">
        <x:v>观察</x:v>
      </x:c>
      <x:c r="F300" s="4" t="str">
        <x:v>参照仅覆盖套装部分</x:v>
      </x:c>
      <x:c r="G300" s="4" t="str">
        <x:v>3016464</x:v>
      </x:c>
      <x:c r="H300" s="4" t="str">
        <x:v>Juego de cuchillos de cocina Redstone</x:v>
      </x:c>
      <x:c r="I300" s="4" t="str">
        <x:v>related_type</x:v>
      </x:c>
      <x:c r="J300" s="4" t="str">
        <x:v>厨刀套装参照只确认刀具，未证明刀架也包含；不凭品牌补造；参照不足以支持完整销售主体</x:v>
      </x:c>
      <x:c r="K300" s="4" t="str">
        <x:v>钢材、锋利度和刀架结构未核实</x:v>
      </x:c>
      <x:c r="L300" s="4" t="str">
        <x:v>https://www.amazon.es/WMF-Cuchillos-Soporte-Templado-Duraci%C3%B3n/dp/B07MXSF26D/ref=sr_1_2933?dib=eyJ2IjoiMSJ9.XHjhw3v_39os21LBKHSs_DFu0ZROoCF46HPDRv_uZHVsaMaLCeLewAKT0NDbpHLRJPCF5ltmvDxOF51secJo_JENUDDFSiWYr3IAgpOCi5H3GNi_eqP6ClxledB6GMssGv5O04A-vrTtUFwKxnk9F3ROQbN7XvUs8cz6m92Du1Mgfgj0CKqtj0uMlsFGNCAvM-wU8f1_EOqd_WvBWRiEZ0YbiHdy2I4T_afRjZ1fcgQyiFPztRZBsBF8KoNHt_76YEqckgmTHA3WnJeKcYCh9zuWDNyLib4Y4VZvnIZe6Hc.ZPySrVqrXmgF-ciVLdeMPDI7W5vM__yZpiKsrJxllPE&amp;dib_tag=se&amp;qid=1792651426&amp;s=kitchen&amp;sr=1-2933&amp;srs=88626813031&amp;xpid=qpnO31ULD-dQ4</x:v>
      </x:c>
      <x:c r="M300" s="4" t="str">
        <x:v>B0_84bacc4c6b66_021786</x:v>
      </x:c>
      <x:c r="N300" s="4" t="str">
        <x:v>23d0451184d2c3510cd9b139f4cec44af6b5bdf45d33505e995095b638e2efcf</x:v>
      </x:c>
      <x:c r="O300" s="8"/>
      <x:c r="P300" s="8"/>
      <x:c r="Q300" s="8"/>
      <x:c r="R300" s="8"/>
    </x:row>
    <x:row r="301" ht="90" customHeight="1">
      <x:c r="A301" s="4" t="str">
        <x:v>P297</x:v>
      </x:c>
      <x:c r="B301" s="4" t="str">
        <x:v>Rayher 2405522 Alambre para bisutería y Manualidades, Grosor 0,3 mm, Longitud 50 m, Plateado</x:v>
      </x:c>
      <x:c r="C301" s="4" t="str">
        <x:v>饰品手工细金属丝</x:v>
      </x:c>
      <x:c r="D301" s="4" t="str">
        <x:v>穿串或造型制作饰品</x:v>
      </x:c>
      <x:c r="E301" s="4" t="str">
        <x:v>保留</x:v>
      </x:c>
      <x:c r="F301" s="4" t="str"/>
      <x:c r="G301" s="4" t="str">
        <x:v>2564279</x:v>
      </x:c>
      <x:c r="H301" s="4" t="str">
        <x:v>Alambre de decoración Hobby Flora</x:v>
      </x:c>
      <x:c r="I301" s="4" t="str">
        <x:v>related_type</x:v>
      </x:c>
      <x:c r="J301" s="4" t="str">
        <x:v>参照装饰金属丝与源手工用途相关，不能用手工黏土或垫子冒充同类</x:v>
      </x:c>
      <x:c r="K301" s="4" t="str">
        <x:v>金属种类与饰品接触适用性未明确</x:v>
      </x:c>
      <x:c r="L301" s="4" t="str">
        <x:v>https://www.amazon.es/RAYHER-HOBBY-Rayher-2405522-joyas-keldraht/dp/B004P1NC46?psc=1</x:v>
      </x:c>
      <x:c r="M301" s="4" t="str">
        <x:v>B0_84bacc4c6b66_016689</x:v>
      </x:c>
      <x:c r="N301" s="4" t="str">
        <x:v>e108b3023e1e27ade94baa35b5c57424e23c15970ca32221bc357aa1f83794ce</x:v>
      </x:c>
      <x:c r="O301" s="8"/>
      <x:c r="P301" s="8"/>
      <x:c r="Q301" s="8"/>
      <x:c r="R301" s="8"/>
    </x:row>
    <x:row r="302" ht="90" customHeight="1">
      <x:c r="A302" s="4" t="str">
        <x:v>P298</x:v>
      </x:c>
      <x:c r="B302" s="4" t="str">
        <x:v>450 ml Tetera de Vidrio Transparente con Infusor Desmontable, Resistente al Calor Tetera de Cristal Borosilicato con Colador Tetera Pequeña Para Té De Hojas Sueltas, Hierbas, Frutas</x:v>
      </x:c>
      <x:c r="C302" s="4" t="str">
        <x:v>带可拆滤器玻璃茶壶</x:v>
      </x:c>
      <x:c r="D302" s="4" t="str">
        <x:v>过滤冲泡散茶</x:v>
      </x:c>
      <x:c r="E302" s="4" t="str">
        <x:v>保留</x:v>
      </x:c>
      <x:c r="F302" s="4" t="str"/>
      <x:c r="G302" s="4" t="str">
        <x:v>3217829</x:v>
      </x:c>
      <x:c r="H302" s="4" t="str">
        <x:v>Tetera de vidrio con filtro</x:v>
      </x:c>
      <x:c r="I302" s="4" t="str">
        <x:v>same_type</x:v>
      </x:c>
      <x:c r="J302" s="4" t="str">
        <x:v>参照玻璃滤茶壶同类，明确茶壶而不是玻璃糖果罐</x:v>
      </x:c>
      <x:c r="K302" s="4" t="str">
        <x:v>耐热和容量未独立核实</x:v>
      </x:c>
      <x:c r="L302" s="4" t="str">
        <x:v>https://www.amazon.es/Transparente-Infusor-Desmontable-Resistente-Borosilicato/dp/B0D7GDNGC4?psc=1</x:v>
      </x:c>
      <x:c r="M302" s="4" t="str">
        <x:v>B0_84bacc4c6b66_020339</x:v>
      </x:c>
      <x:c r="N302" s="4" t="str">
        <x:v>59fc5e5117c34c89acfa910ce70d3f318e02a82b1231c758710a065d2ce4bf5e</x:v>
      </x:c>
      <x:c r="O302" s="8"/>
      <x:c r="P302" s="8"/>
      <x:c r="Q302" s="8"/>
      <x:c r="R302" s="8"/>
    </x:row>
    <x:row r="303" ht="90" customHeight="1">
      <x:c r="A303" s="4" t="str">
        <x:v>P299</x:v>
      </x:c>
      <x:c r="B303" s="4" t="str">
        <x:v>Funda Sofa Impermeable,Antiarañazos Manta Protectora para Sofá Gatos Perros | Funda Sofa Chaise Long Separado Protector Cubre Sofa Protector Antideslizante para Sofás Modulares Esquinero,Beige,110x240cm</x:v>
      </x:c>
      <x:c r="C303" s="4" t="str">
        <x:v>沙发表面防护盖布</x:v>
      </x:c>
      <x:c r="D303" s="4" t="str">
        <x:v>保护沙发免受污损</x:v>
      </x:c>
      <x:c r="E303" s="4" t="str">
        <x:v>观察</x:v>
      </x:c>
      <x:c r="F303" s="4" t="str">
        <x:v>缺少有效Action参照</x:v>
      </x:c>
      <x:c r="G303" s="4" t="str"/>
      <x:c r="H303" s="4" t="str"/>
      <x:c r="I303" s="4" t="str">
        <x:v>none</x:v>
      </x:c>
      <x:c r="J303" s="4" t="str">
        <x:v>源为可铺盖防护织物，游戏机保护壳与车罩不证明家具织物同类参照</x:v>
      </x:c>
      <x:c r="K303" s="4" t="str">
        <x:v>防水、抗抓与适配范围未核实</x:v>
      </x:c>
      <x:c r="L303" s="4" t="str">
        <x:v>https://www.amazon.es/Impermeable-Antiara%C3%B1azos-Protectora-Protector-Antideslizante/dp/B0HG13FQ8F?psc=1</x:v>
      </x:c>
      <x:c r="M303" s="4" t="str">
        <x:v>B0_84bacc4c6b66_010204</x:v>
      </x:c>
      <x:c r="N303" s="4" t="str">
        <x:v>a22a210eabe21c94068a55afa558bbb199adc0bcc0a509745f04771316c1dcf7</x:v>
      </x:c>
      <x:c r="O303" s="8"/>
      <x:c r="P303" s="8"/>
      <x:c r="Q303" s="8"/>
      <x:c r="R303" s="8"/>
    </x:row>
    <x:row r="304" ht="90" customHeight="1">
      <x:c r="A304" s="4" t="str">
        <x:v>P300</x:v>
      </x:c>
      <x:c r="B304" s="4" t="str">
        <x:v>Bodum Chambord - Cafetera, 12 tazas, 1,5 l, brillante</x:v>
      </x:c>
      <x:c r="C304" s="4" t="str">
        <x:v>咖啡制作器具，驱动形态待明</x:v>
      </x:c>
      <x:c r="D304" s="4" t="str">
        <x:v>制作咖啡</x:v>
      </x:c>
      <x:c r="E304" s="4" t="str">
        <x:v>观察</x:v>
      </x:c>
      <x:c r="F304" s="4" t="str">
        <x:v>供货或形态信息不足</x:v>
      </x:c>
      <x:c r="G304" s="4" t="str"/>
      <x:c r="H304" s="4" t="str"/>
      <x:c r="I304" s="4" t="str">
        <x:v>none</x:v>
      </x:c>
      <x:c r="J304" s="4" t="str">
        <x:v>仅Cafetera、品牌型号及容量，不能凭品牌常识补成法压壶或电动咖啡机</x:v>
      </x:c>
      <x:c r="K304" s="4" t="str">
        <x:v>手动、电动及萃取方式未明</x:v>
      </x:c>
      <x:c r="L304" s="4" t="str">
        <x:v>https://www.amazon.es/Bodum-1932-16-Chambord-Cafetera-brillante/dp/B00005LM0T/ref=sr_1_3124?dib=eyJ2IjoiMSJ9.brrT3Lx8CDI4VY_K7-xF2G3oPHRSp12U8jD39aL_enw-M3FvhAYQhllIHiBZixug6yR7DDzU7vfrwqJv0Tkpgm-Pgaveqt_YL8pXVQF1NG1LIHCwSf7uxHdQcTUaFNhrmfkzqFSPiHoT7RXfNAUG66rPzj5i9JRau7L51iRPSkwoj9g_ZgmyQJwI5opwyn0BkcEyNCAmq9CPsyh8m3TJ76faCKc6t3qmJkeQUsXB3R3cSHUG3BeSSl4D1WimQzeSZfUUwLRvMXcnyHBBKGSJi-3Y4vnKEnn1YJ-mX8hCd4g.Gq07Z8lNUKYt2Od67W1tM_9H4nHvn4NQSwvhyN5_pm0&amp;dib_tag=se&amp;qid=1792651675&amp;s=kitchen&amp;sr=1-3124&amp;srs=88626813031&amp;xpid=qpnO31ULD-dQ4</x:v>
      </x:c>
      <x:c r="M304" s="4" t="str">
        <x:v>B0_84bacc4c6b66_003000</x:v>
      </x:c>
      <x:c r="N304" s="4" t="str">
        <x:v>139ee72937dde68d5aa50a2fad42e1fbc5b6dece16900e4b0f4fa7902201bf33</x:v>
      </x:c>
      <x:c r="O304" s="8"/>
      <x:c r="P304" s="8"/>
      <x:c r="Q304" s="8"/>
      <x:c r="R304" s="8"/>
    </x:row>
    <x:row r="305" ht="90" customHeight="1">
      <x:c r="A305" s="4" t="str">
        <x:v>P301</x:v>
      </x:c>
      <x:c r="B305" s="4" t="str">
        <x:v>200 Bolsas de Plástico Transparentes, 10×10 cm | 4 Diseños con Calabaza, Bruja, Fantasma y Esqueleto para Caramelos, Galletas, Regalos de Fiesta y Colegio</x:v>
      </x:c>
      <x:c r="C305" s="4" t="str">
        <x:v>万圣节图案透明礼品袋</x:v>
      </x:c>
      <x:c r="D305" s="4" t="str">
        <x:v>包装糖果或派对礼品</x:v>
      </x:c>
      <x:c r="E305" s="4" t="str">
        <x:v>保留</x:v>
      </x:c>
      <x:c r="F305" s="4" t="str"/>
      <x:c r="G305" s="4" t="str">
        <x:v>3208197</x:v>
      </x:c>
      <x:c r="H305" s="4" t="str">
        <x:v>Bolsas de regalo</x:v>
      </x:c>
      <x:c r="I305" s="4" t="str">
        <x:v>same_type</x:v>
      </x:c>
      <x:c r="J305" s="4" t="str">
        <x:v>参照礼品袋同类，节庆图案不改变包装主体</x:v>
      </x:c>
      <x:c r="K305" s="4" t="str">
        <x:v>食品直接接触适用性未核实</x:v>
      </x:c>
      <x:c r="L305" s="4" t="str">
        <x:v>https://www.amazon.es/Pl%C3%A1stico-Transparentes-Calabaza-Esqueleto-Caramelos/dp/B0HB3ZVPJ8?psc=1</x:v>
      </x:c>
      <x:c r="M305" s="4" t="str">
        <x:v>B0_84bacc4c6b66_015927</x:v>
      </x:c>
      <x:c r="N305" s="4" t="str">
        <x:v>f90f4b5b2852fb3e72e5a39a7abbe236daeb24645bfec680cb88b6fb35d37e96</x:v>
      </x:c>
      <x:c r="O305" s="8"/>
      <x:c r="P305" s="8"/>
      <x:c r="Q305" s="8"/>
      <x:c r="R305" s="8"/>
    </x:row>
    <x:row r="306" ht="90" customHeight="1">
      <x:c r="A306" s="4" t="str">
        <x:v>P302</x:v>
      </x:c>
      <x:c r="B306" s="4" t="str">
        <x:v>Tatay Cesta de Ducha Instalación sin Taladro Colgar con Drenaje Eficiente</x:v>
      </x:c>
      <x:c r="C306" s="4" t="str">
        <x:v>悬挂式淋浴收纳篮</x:v>
      </x:c>
      <x:c r="D306" s="4" t="str">
        <x:v>存放洗浴用品</x:v>
      </x:c>
      <x:c r="E306" s="4" t="str">
        <x:v>保留</x:v>
      </x:c>
      <x:c r="F306" s="4" t="str"/>
      <x:c r="G306" s="4" t="str">
        <x:v>3016459</x:v>
      </x:c>
      <x:c r="H306" s="4" t="str">
        <x:v>Estantería de ducha</x:v>
      </x:c>
      <x:c r="I306" s="4" t="str">
        <x:v>related_type</x:v>
      </x:c>
      <x:c r="J306" s="4" t="str">
        <x:v>真实淋浴架支持沥水浴室收纳用途，源为篮式，不推定同安装接口</x:v>
      </x:c>
      <x:c r="K306" s="4" t="str">
        <x:v>挂点和承重未核实</x:v>
      </x:c>
      <x:c r="L306" s="4" t="str">
        <x:v>https://www.amazon.es/Tatay-4437400-Colgador-Cromado-Alturas/dp/B00NA85P4U/ref=sr_1_640?dib=eyJ2IjoiMSJ9.1gMLz9RyE_y8_k7i54ljZmT727jlrPPxsv6pnE7MmpuEOKgGVyvmICLUejxLqkfVFAy6ddkM4Xlch-ICszQAkIshQFaaofecMa2SITTGsOk_L246nVXaXJQdmsvUUvFEK8PcvsqIV96Pp6ryvkzcYZh7gYH0ELXoDPRhCh1aNZiYvtZ_d40pB1bcNPYsuszgZNRLMZywRsEbc3G4ESXbzWIU9pYGs1p-jqc_nUdQixJ2-YPkJ_wt0ZofhslWiVZz6dSOgnt5I4FcOknQI-lec0XF8CL7Z7EPL8Rf7GeJjqM.-iLuPi0-ynaRAur2DwzTB6h9T3whUW03aixjb0SDelc&amp;dib_tag=se&amp;qid=1792597165&amp;s=kitchen&amp;sr=1-640&amp;srs=88626813031&amp;xpid=CeuYXw3Vdr0Bg</x:v>
      </x:c>
      <x:c r="M306" s="4" t="str">
        <x:v>B0_84bacc4c6b66_019649</x:v>
      </x:c>
      <x:c r="N306" s="4" t="str">
        <x:v>471dd6fa15ab2e4b563153749069bdb1c172fa8f024f028a7f954f6b3728a80e</x:v>
      </x:c>
      <x:c r="O306" s="8"/>
      <x:c r="P306" s="8"/>
      <x:c r="Q306" s="8"/>
      <x:c r="R306" s="8"/>
    </x:row>
    <x:row r="307" ht="90" customHeight="1">
      <x:c r="A307" s="4" t="str">
        <x:v>P303</x:v>
      </x:c>
      <x:c r="B307" s="4" t="str">
        <x:v>Aigostar Molinillo de Café Eléctrico, 52 Ajustes de Molido, Acero Inox | 320g+130g Molinillo Café de Cono, Moledor Profesional con Pantalla Lcd Digital Precisa, Grinder Electrico Para Café Espresso</x:v>
      </x:c>
      <x:c r="C307" s="4" t="str">
        <x:v>电动咖啡磨豆机</x:v>
      </x:c>
      <x:c r="D307" s="4" t="str">
        <x:v>研磨咖啡豆</x:v>
      </x:c>
      <x:c r="E307" s="4" t="str">
        <x:v>观察</x:v>
      </x:c>
      <x:c r="F307" s="4" t="str">
        <x:v>经营边界未确认</x:v>
      </x:c>
      <x:c r="G307" s="4" t="str">
        <x:v>3222640</x:v>
      </x:c>
      <x:c r="H307" s="4" t="str">
        <x:v>Molinillo de especias</x:v>
      </x:c>
      <x:c r="I307" s="4" t="str">
        <x:v>related_type</x:v>
      </x:c>
      <x:c r="J307" s="4" t="str">
        <x:v>香料磨具支持研磨食材需求，但咖啡机磨盘和驱动未被参照证明，仍待边界校准</x:v>
      </x:c>
      <x:c r="K307" s="4" t="str">
        <x:v>研磨档位、精度和容量未核实</x:v>
      </x:c>
      <x:c r="L307" s="4" t="str">
        <x:v>https://www.amazon.es/Aigostar-Molinillo-El%C3%A9ctrico-Profesional-inoxidable/dp/B0DC9MFXMD?psc=1</x:v>
      </x:c>
      <x:c r="M307" s="4" t="str">
        <x:v>B0_84bacc4c6b66_000939</x:v>
      </x:c>
      <x:c r="N307" s="4" t="str">
        <x:v>6b2c7b20a65808fb0c561f428c7ad5c07fa93e92e17693e1eb5d85f41781172c</x:v>
      </x:c>
      <x:c r="O307" s="8"/>
      <x:c r="P307" s="8"/>
      <x:c r="Q307" s="8"/>
      <x:c r="R307" s="8"/>
    </x:row>
    <x:row r="308" ht="90" customHeight="1">
      <x:c r="A308" s="4" t="str">
        <x:v>P304</x:v>
      </x:c>
      <x:c r="B308" s="4" t="str">
        <x:v>Stanley 1913 Flip Straw Botella Agua con Pajita 0.89L - Black 2.0 | Conserva el Frío 12 Horas - Termo Agua Fria - Acero Inoxidable - Sin BPA - Fácil de llevar - Apta Para Lavavajillas</x:v>
      </x:c>
      <x:c r="C308" s="4" t="str">
        <x:v>带吸管保温水瓶</x:v>
      </x:c>
      <x:c r="D308" s="4" t="str">
        <x:v>携带冷饮并饮用</x:v>
      </x:c>
      <x:c r="E308" s="4" t="str">
        <x:v>保留</x:v>
      </x:c>
      <x:c r="F308" s="4" t="str"/>
      <x:c r="G308" s="4" t="str">
        <x:v>3208965</x:v>
      </x:c>
      <x:c r="H308" s="4" t="str">
        <x:v>Botella de acero inoxidable con pajita</x:v>
      </x:c>
      <x:c r="I308" s="4" t="str">
        <x:v>same_type</x:v>
      </x:c>
      <x:c r="J308" s="4" t="str">
        <x:v>参照钢制吸管瓶同类，不从同品牌推断真实性</x:v>
      </x:c>
      <x:c r="K308" s="4" t="str">
        <x:v>保冷、无BPA和洗碗机适用性未核实</x:v>
      </x:c>
      <x:c r="L308" s="4" t="str">
        <x:v>https://www.amazon.es/Stanley-Straw-Botella-Pajita-0-89L/dp/B0HCCK9GP3?psc=1</x:v>
      </x:c>
      <x:c r="M308" s="4" t="str">
        <x:v>B0_84bacc4c6b66_019054</x:v>
      </x:c>
      <x:c r="N308" s="4" t="str">
        <x:v>c6afe5cdfb141bdc71875eaa0a0840dedbb9dd45aacbbfe6177ec2842a6a8658</x:v>
      </x:c>
      <x:c r="O308" s="8"/>
      <x:c r="P308" s="8"/>
      <x:c r="Q308" s="8"/>
      <x:c r="R308" s="8"/>
    </x:row>
    <x:row r="309" ht="90" customHeight="1">
      <x:c r="A309" s="4" t="str">
        <x:v>P305</x:v>
      </x:c>
      <x:c r="B309" s="4" t="str">
        <x:v>Arco Redondo para Globos 2,2x2,2m, Metal Dorado para Boda | Para boda, cumpleaños, fiesta, baby shower, graduación, ceremonia ; estructura estable ; montaje sencillo</x:v>
      </x:c>
      <x:c r="C309" s="4" t="str">
        <x:v>金属气球圆拱架</x:v>
      </x:c>
      <x:c r="D309" s="4" t="str">
        <x:v>布置婚礼或派对背景</x:v>
      </x:c>
      <x:c r="E309" s="4" t="str">
        <x:v>观察</x:v>
      </x:c>
      <x:c r="F309" s="4" t="str">
        <x:v>经营边界未确认</x:v>
      </x:c>
      <x:c r="G309" s="4" t="str">
        <x:v>3013095</x:v>
      </x:c>
      <x:c r="H309" s="4" t="str">
        <x:v>Arco de globos</x:v>
      </x:c>
      <x:c r="I309" s="4" t="str">
        <x:v>related_type</x:v>
      </x:c>
      <x:c r="J309" s="4" t="str">
        <x:v>参照气球拱门相关，但2.2米金属结构的运输和陈设形态需复核</x:v>
      </x:c>
      <x:c r="K309" s="4" t="str">
        <x:v>参照是支架还是气球套装未明确</x:v>
      </x:c>
      <x:c r="L309" s="4" t="str">
        <x:v>https://www.amazon.es/cumplea%C3%B1os-graduaci%C3%B3n-ceremonia-estructura-sencillo/dp/B0H4L97PFV?psc=1</x:v>
      </x:c>
      <x:c r="M309" s="4" t="str">
        <x:v>B0_84bacc4c6b66_023601</x:v>
      </x:c>
      <x:c r="N309" s="4" t="str">
        <x:v>f71e457953261d71e10c427f940cc5e2c63fce430746507bde449d0ef9c133de</x:v>
      </x:c>
      <x:c r="O309" s="8"/>
      <x:c r="P309" s="8"/>
      <x:c r="Q309" s="8"/>
      <x:c r="R309" s="8"/>
    </x:row>
    <x:row r="310" ht="90" customHeight="1">
      <x:c r="A310" s="4" t="str">
        <x:v>P306</x:v>
      </x:c>
      <x:c r="B310" s="4" t="str">
        <x:v>Meisterfaktur Desatascador tuberias espiral- 7,5 m - Desatascador tuberias profesional para la limpieza de tuberías, respetuoso con el medio ambiente</x:v>
      </x:c>
      <x:c r="C310" s="4" t="str">
        <x:v>弹簧式管道疏通器</x:v>
      </x:c>
      <x:c r="D310" s="4" t="str">
        <x:v>清除管道堵塞</x:v>
      </x:c>
      <x:c r="E310" s="4" t="str">
        <x:v>保留</x:v>
      </x:c>
      <x:c r="F310" s="4" t="str"/>
      <x:c r="G310" s="4" t="str">
        <x:v>3200457</x:v>
      </x:c>
      <x:c r="H310" s="4" t="str">
        <x:v>Muelle desatascador de tuberías</x:v>
      </x:c>
      <x:c r="I310" s="4" t="str">
        <x:v>same_type</x:v>
      </x:c>
      <x:c r="J310" s="4" t="str">
        <x:v>参照疏通弹簧同类，专业描述不等于工业整机</x:v>
      </x:c>
      <x:c r="K310" s="4" t="str">
        <x:v>管径适配和疏通能力未核实</x:v>
      </x:c>
      <x:c r="L310" s="4" t="str">
        <x:v>https://www.amazon.es/Meisterfaktur-Desatascador-tuberias-espiral-profesional/dp/B09W1831L7?psc=1</x:v>
      </x:c>
      <x:c r="M310" s="4" t="str">
        <x:v>B0_84bacc4c6b66_013309</x:v>
      </x:c>
      <x:c r="N310" s="4" t="str">
        <x:v>5ee85be88fb5f3279000a65ddf5ba013151e952d688f3fcbbf81ba32ae61efa2</x:v>
      </x:c>
      <x:c r="O310" s="8"/>
      <x:c r="P310" s="8"/>
      <x:c r="Q310" s="8"/>
      <x:c r="R310" s="8"/>
    </x:row>
    <x:row r="311" ht="90" customHeight="1">
      <x:c r="A311" s="4" t="str">
        <x:v>P307</x:v>
      </x:c>
      <x:c r="B311" s="4" t="str">
        <x:v>MERCURY TEXTIL- Juego 4 Toallas de 500gsm 100% Algodón (Gris Oscuro) | 2 de Baño y 2 de Manos, Suaves, Resistentes y Absorbentes</x:v>
      </x:c>
      <x:c r="C311" s="4" t="str">
        <x:v>浴巾和手巾四件套</x:v>
      </x:c>
      <x:c r="D311" s="4" t="str">
        <x:v>洗浴后擦拭身体和双手</x:v>
      </x:c>
      <x:c r="E311" s="4" t="str">
        <x:v>保留</x:v>
      </x:c>
      <x:c r="F311" s="4" t="str"/>
      <x:c r="G311" s="4" t="str">
        <x:v>3224477</x:v>
      </x:c>
      <x:c r="H311" s="4" t="str">
        <x:v>Juego de toallas</x:v>
      </x:c>
      <x:c r="I311" s="4" t="str">
        <x:v>same_type</x:v>
      </x:c>
      <x:c r="J311" s="4" t="str">
        <x:v>毛巾套装参照覆盖该类组合，原文明确两浴巾两手巾</x:v>
      </x:c>
      <x:c r="K311" s="4" t="str">
        <x:v>棉含量与吸水性能未核实</x:v>
      </x:c>
      <x:c r="L311" s="4" t="str">
        <x:v>https://www.amazon.es/MERCURY-TEXTIL-Toallas-Resistentes-Absorbentes/dp/B0FC2GKGDV?psc=1</x:v>
      </x:c>
      <x:c r="M311" s="4" t="str">
        <x:v>B0_84bacc4c6b66_012746</x:v>
      </x:c>
      <x:c r="N311" s="4" t="str">
        <x:v>d59aec2eeba065a874896817831da3c8928d7b157e4c8abcb73069b50c4cbce3</x:v>
      </x:c>
      <x:c r="O311" s="8"/>
      <x:c r="P311" s="8"/>
      <x:c r="Q311" s="8"/>
      <x:c r="R311" s="8"/>
    </x:row>
    <x:row r="312" ht="90" customHeight="1">
      <x:c r="A312" s="4" t="str">
        <x:v>P308</x:v>
      </x:c>
      <x:c r="B312" s="4" t="str">
        <x:v>20 años de vida útil！！BH-590 Barra energética de avena, Ración de alimentos de emergencia, Barra de trigo comprimida, Almacenamiento de alimentos de supervivencia al aire libre, Vegano (250 g/bolsa)</x:v>
      </x:c>
      <x:c r="C312" s="4" t="str">
        <x:v>应急谷物能量棒</x:v>
      </x:c>
      <x:c r="D312" s="4" t="str">
        <x:v>作为便携食品补充能量</x:v>
      </x:c>
      <x:c r="E312" s="4" t="str">
        <x:v>保留</x:v>
      </x:c>
      <x:c r="F312" s="4" t="str"/>
      <x:c r="G312" s="4" t="str">
        <x:v>2577105</x:v>
      </x:c>
      <x:c r="H312" s="4" t="str">
        <x:v>Barritas energéticas Accelerate</x:v>
      </x:c>
      <x:c r="I312" s="4" t="str">
        <x:v>related_type</x:v>
      </x:c>
      <x:c r="J312" s="4" t="str">
        <x:v>能量棒参照相关，来源另称压缩小麦，保留成分差异不补配方</x:v>
      </x:c>
      <x:c r="K312" s="4" t="str">
        <x:v>20年保质、素食和谷物配方未核实</x:v>
      </x:c>
      <x:c r="L312" s="4" t="str">
        <x:v>https://www.amazon.es/%C3%BAtil%EF%BC%81%EF%BC%81BH-590-energ%C3%A9tica-emergencia-Almacenamiento-supervivencia/dp/B0DF3YVXMP?psc=1</x:v>
      </x:c>
      <x:c r="M312" s="4" t="str">
        <x:v>B0_84bacc4c6b66_000006</x:v>
      </x:c>
      <x:c r="N312" s="4" t="str">
        <x:v>4c05ef33d3fc3cf2cf7fb3ca0303afdd1cbddd7aebc2167cdc7d3246b7fb1e57</x:v>
      </x:c>
      <x:c r="O312" s="8"/>
      <x:c r="P312" s="8"/>
      <x:c r="Q312" s="8"/>
      <x:c r="R312" s="8"/>
    </x:row>
    <x:row r="313" ht="90" customHeight="1">
      <x:c r="A313" s="4" t="str">
        <x:v>P309</x:v>
      </x:c>
      <x:c r="B313" s="4" t="str">
        <x:v>HIBREW H13 Dual Thermoblock Espresso Machine for Home Baristas | Portafilter in Stainless Steel, PID Control, 20 Bar Pump, 3-Level Steam, Separate Hot Water Spout for Home</x:v>
      </x:c>
      <x:c r="C313" s="4" t="str">
        <x:v>家用意式浓缩咖啡机</x:v>
      </x:c>
      <x:c r="D313" s="4" t="str">
        <x:v>萃取咖啡与蒸汽处理饮品</x:v>
      </x:c>
      <x:c r="E313" s="4" t="str">
        <x:v>观察</x:v>
      </x:c>
      <x:c r="F313" s="4" t="str">
        <x:v>经营边界未确认</x:v>
      </x:c>
      <x:c r="G313" s="4" t="str">
        <x:v>3214353</x:v>
      </x:c>
      <x:c r="H313" s="4" t="str">
        <x:v>Cafetera espresso</x:v>
      </x:c>
      <x:c r="I313" s="4" t="str">
        <x:v>same_type</x:v>
      </x:c>
      <x:c r="J313" s="4" t="str">
        <x:v>英文明确咖啡整机，带蒸汽与热水出口不自动变成工业设备</x:v>
      </x:c>
      <x:c r="K313" s="4" t="str">
        <x:v>压力、温控及蒸汽性能未核实</x:v>
      </x:c>
      <x:c r="L313" s="4" t="str">
        <x:v>https://www.amazon.es/HIBREW-H13-Thermoblock-Portafilter-Stainless/dp/B0HCT88JTJ?psc=1</x:v>
      </x:c>
      <x:c r="M313" s="4" t="str">
        <x:v>B0_84bacc4c6b66_009030</x:v>
      </x:c>
      <x:c r="N313" s="4" t="str">
        <x:v>5b6a076c1b97aa8e89cc1ec51e8af8f41615783d314e4a3321ee6641c70de1f0</x:v>
      </x:c>
      <x:c r="O313" s="8"/>
      <x:c r="P313" s="8"/>
      <x:c r="Q313" s="8"/>
      <x:c r="R313" s="8"/>
    </x:row>
    <x:row r="314" ht="90" customHeight="1">
      <x:c r="A314" s="4" t="str">
        <x:v>P310</x:v>
      </x:c>
      <x:c r="B314" s="4" t="str">
        <x:v>Nespresso De'Longhi Essenza Mini EN85.R - Cafetera monodosis de cápsulas Nespresso, compacta, 19 bares, apagado automático, color rojo, 1</x:v>
      </x:c>
      <x:c r="C314" s="4" t="str">
        <x:v>Nespresso胶囊咖啡机</x:v>
      </x:c>
      <x:c r="D314" s="4" t="str">
        <x:v>使用适配胶囊制作咖啡</x:v>
      </x:c>
      <x:c r="E314" s="4" t="str">
        <x:v>观察</x:v>
      </x:c>
      <x:c r="F314" s="4" t="str">
        <x:v>经营边界未确认</x:v>
      </x:c>
      <x:c r="G314" s="4" t="str">
        <x:v>3214353</x:v>
      </x:c>
      <x:c r="H314" s="4" t="str">
        <x:v>Cafetera espresso</x:v>
      </x:c>
      <x:c r="I314" s="4" t="str">
        <x:v>related_type</x:v>
      </x:c>
      <x:c r="J314" s="4" t="str">
        <x:v>咖啡机参照支持萃取用途，但不证明胶囊标准相同</x:v>
      </x:c>
      <x:c r="K314" s="4" t="str">
        <x:v>胶囊兼容和压力未核实</x:v>
      </x:c>
      <x:c r="L314" s="4" t="str">
        <x:v>https://www.amazon.es/Nespresso-DeLonghi-EN-85-R-Cafetera/dp/B073ZL4Y7F/ref=sr_1_165?dib=eyJ2IjoiMSJ9.zUsBD8umwYGZJTVU_zXAYKEljij89Sf7SWKfNdCjVHbZ__McnTRNGFO43Diw-cfVYbL7TxbGdjZ6SahtQhNSuApOv4PWw_kF8CswNQdxoXSWZ8h9GgWtVGKjbzu9Tr60-PKFpQ43j4vTF3M5dBvUprTMf1Fzk5Rm_mTdQufYjgM7m3nqxQp9cA3-mYtF5VV6fJqlF5V0cQyiMYzTckLID6pbuIvBcyBFvRHmPp7szI8-C7BAqwLAR4iAWxjuwoPcxlNfSAIakwPbgqZB-yRDOgnzOR0qkodPWqiv0K0aTzc.g0gjQLcHy1is2xyPAKEADV7l24murROdsS0nfFabNd0&amp;dib_tag=se&amp;qid=1792596387&amp;s=kitchen&amp;sr=1-165&amp;srs=88626813031&amp;xpid=CeuYXw3Vdr0Bg</x:v>
      </x:c>
      <x:c r="M314" s="4" t="str">
        <x:v>B0_84bacc4c6b66_014174</x:v>
      </x:c>
      <x:c r="N314" s="4" t="str">
        <x:v>b029d72bdb6436f2c8452934281d6cfd74286251c6d4134abd768cace0d6f2d8</x:v>
      </x:c>
      <x:c r="O314" s="8"/>
      <x:c r="P314" s="8"/>
      <x:c r="Q314" s="8"/>
      <x:c r="R314" s="8"/>
    </x:row>
    <x:row r="315" ht="90" customHeight="1">
      <x:c r="A315" s="4" t="str">
        <x:v>P311</x:v>
      </x:c>
      <x:c r="B315" s="4" t="str">
        <x:v>Lumonic 1x El cable tubular 35mm² en blanco | M8 | Cobre estañado | Conexión de cables sin soldadura | SC35-8, Terminal de cable de engaste, conector de engaste | Vehículo de motor, ingeniería mecánic</x:v>
      </x:c>
      <x:c r="C315" s="4" t="str">
        <x:v>铜质压接电缆端子</x:v>
      </x:c>
      <x:c r="D315" s="4" t="str">
        <x:v>连接适配截面积电缆与端子柱</x:v>
      </x:c>
      <x:c r="E315" s="4" t="str">
        <x:v>观察</x:v>
      </x:c>
      <x:c r="F315" s="4" t="str">
        <x:v>专用或安装配件</x:v>
      </x:c>
      <x:c r="G315" s="4" t="str"/>
      <x:c r="H315" s="4" t="str"/>
      <x:c r="I315" s="4" t="str">
        <x:v>none</x:v>
      </x:c>
      <x:c r="J315" s="4" t="str">
        <x:v>源尾段明确压接端子，不能被开头cable误作整条数据线</x:v>
      </x:c>
      <x:c r="K315" s="4" t="str">
        <x:v>截面积、螺孔和电气承载未核实</x:v>
      </x:c>
      <x:c r="L315" s="4" t="str">
        <x:v>https://www.amazon.es/Lumonic-esta%C3%B1ado-Conexi%C3%B3n-soldaduras-Terminal/dp/B074J7TK3K?psc=1</x:v>
      </x:c>
      <x:c r="M315" s="4" t="str">
        <x:v>B0_84bacc4c6b66_012552</x:v>
      </x:c>
      <x:c r="N315" s="4" t="str">
        <x:v>89c110c52e0d8121a1ef40fb82c8cd622caaec876b372033b9150d9631a9c32b</x:v>
      </x:c>
      <x:c r="O315" s="8"/>
      <x:c r="P315" s="8"/>
      <x:c r="Q315" s="8"/>
      <x:c r="R315" s="8"/>
    </x:row>
    <x:row r="316" ht="90" customHeight="1">
      <x:c r="A316" s="4" t="str">
        <x:v>P312</x:v>
      </x:c>
      <x:c r="B316" s="4" t="str">
        <x:v>NUEAYMS - Bisagra de repuesto para TN3B TN4D TN175 TN200 TN300 TN350 ATLPW40WN ATLPW30TK TN400 TN420 TN550 accesorios para fonógrafo, junta para reproductor de discos</x:v>
      </x:c>
      <x:c r="C316" s="4" t="str">
        <x:v>唱机用替换铰链</x:v>
      </x:c>
      <x:c r="D316" s="4" t="str">
        <x:v>修复适配唱机活动连接</x:v>
      </x:c>
      <x:c r="E316" s="4" t="str">
        <x:v>观察</x:v>
      </x:c>
      <x:c r="F316" s="4" t="str">
        <x:v>专用或安装配件</x:v>
      </x:c>
      <x:c r="G316" s="4" t="str">
        <x:v>3221235</x:v>
      </x:c>
      <x:c r="H316" s="4" t="str">
        <x:v>Bisagras</x:v>
      </x:c>
      <x:c r="I316" s="4" t="str">
        <x:v>related_type</x:v>
      </x:c>
      <x:c r="J316" s="4" t="str">
        <x:v>参照通用铰链仅说明连接件类型，唱机型号适配不能据此确认，不补造安装部位</x:v>
      </x:c>
      <x:c r="K316" s="4" t="str">
        <x:v>铰链安装位置与型号兼容未明确</x:v>
      </x:c>
      <x:c r="L316" s="4" t="str">
        <x:v>https://www.amazon.es/NUEAYMS-ATLPW40WN-ATLPW30TK-accesorios-reproductor/dp/B0H488NKZ6?psc=1</x:v>
      </x:c>
      <x:c r="M316" s="4" t="str">
        <x:v>B0_84bacc4c6b66_014046</x:v>
      </x:c>
      <x:c r="N316" s="4" t="str">
        <x:v>8626ae4cea6642166534f2825d1197d41d61e928586431565ae3db2c43ac0e51</x:v>
      </x:c>
      <x:c r="O316" s="8"/>
      <x:c r="P316" s="8"/>
      <x:c r="Q316" s="8"/>
      <x:c r="R316" s="8"/>
    </x:row>
    <x:row r="317" ht="90" customHeight="1">
      <x:c r="A317" s="4" t="str">
        <x:v>P313</x:v>
      </x:c>
      <x:c r="B317" s="4" t="str">
        <x:v>Piashow 2 bolas de enfriamiento XL de espresso para Ninja Luxe Café ES601 y | Acero inoxidable 304 apto para alimentos, el café no se diluye, incluye caja de almacenamiento</x:v>
      </x:c>
      <x:c r="C317" s="4" t="str">
        <x:v>浓缩咖啡冷却球</x:v>
      </x:c>
      <x:c r="D317" s="4" t="str">
        <x:v>在不加水条件下辅助冷却咖啡</x:v>
      </x:c>
      <x:c r="E317" s="4" t="str">
        <x:v>观察</x:v>
      </x:c>
      <x:c r="F317" s="4" t="str">
        <x:v>专用或安装配件</x:v>
      </x:c>
      <x:c r="G317" s="4" t="str"/>
      <x:c r="H317" s="4" t="str"/>
      <x:c r="I317" s="4" t="str">
        <x:v>none</x:v>
      </x:c>
      <x:c r="J317" s="4" t="str">
        <x:v>原文限定Ninja咖啡设备用途，不是储物盒；冷却球安装使用关系仍需确认</x:v>
      </x:c>
      <x:c r="K317" s="4" t="str">
        <x:v>设备兼容、接触安全和冷却效果未核实</x:v>
      </x:c>
      <x:c r="L317" s="4" t="str">
        <x:v>https://www.amazon.es/Piashow-enfriamiento-inoxidable-alimentos-almacenamiento/dp/B0H8YDCMFM?psc=1</x:v>
      </x:c>
      <x:c r="M317" s="4" t="str">
        <x:v>B0_84bacc4c6b66_015720</x:v>
      </x:c>
      <x:c r="N317" s="4" t="str">
        <x:v>665cff8300155f108a39765a6f979a18b51b997275d42d947652c4d9ce67037c</x:v>
      </x:c>
      <x:c r="O317" s="8"/>
      <x:c r="P317" s="8"/>
      <x:c r="Q317" s="8"/>
      <x:c r="R317" s="8"/>
    </x:row>
    <x:row r="318" ht="90" customHeight="1">
      <x:c r="A318" s="4" t="str">
        <x:v>P314</x:v>
      </x:c>
      <x:c r="B318" s="4" t="str">
        <x:v>QUARKZMAN Remaches de Tachuelas con Tornillo 10x5mm 6 Sets Dorado | Redondas, para Manualidades de Cuero, Bolsos, Cartera y Cinturones</x:v>
      </x:c>
      <x:c r="C318" s="4" t="str">
        <x:v>螺丝铆钉饰钉</x:v>
      </x:c>
      <x:c r="D318" s="4" t="str">
        <x:v>连接或装饰皮具</x:v>
      </x:c>
      <x:c r="E318" s="4" t="str">
        <x:v>观察</x:v>
      </x:c>
      <x:c r="F318" s="4" t="str">
        <x:v>缺少有效Action参照</x:v>
      </x:c>
      <x:c r="G318" s="4" t="str"/>
      <x:c r="H318" s="4" t="str"/>
      <x:c r="I318" s="4" t="str">
        <x:v>none</x:v>
      </x:c>
      <x:c r="J318" s="4" t="str">
        <x:v>主体为皮具固定五金，泛手工套装不证明饰钉具体用途</x:v>
      </x:c>
      <x:c r="K318" s="4" t="str">
        <x:v>金属材料、螺纹和承载未说明</x:v>
      </x:c>
      <x:c r="L318" s="4" t="str">
        <x:v>https://www.amazon.es/QUARKZMAN-Remaches-Tachuelas-Manualidades-Cinturones/dp/B0CPT3Y187?psc=1</x:v>
      </x:c>
      <x:c r="M318" s="4" t="str">
        <x:v>B0_84bacc4c6b66_016505</x:v>
      </x:c>
      <x:c r="N318" s="4" t="str">
        <x:v>c0c49c7c1d49f6f30ac5c8298043d0532f18e059d29b98f60a7e7af61437a335</x:v>
      </x:c>
      <x:c r="O318" s="8"/>
      <x:c r="P318" s="8"/>
      <x:c r="Q318" s="8"/>
      <x:c r="R318" s="8"/>
    </x:row>
    <x:row r="319" ht="90" customHeight="1">
      <x:c r="A319" s="4" t="str">
        <x:v>P315</x:v>
      </x:c>
      <x:c r="B319" s="4" t="str">
        <x:v>Lav - Set de 6 copas de champagne 235 cc Misket</x:v>
      </x:c>
      <x:c r="C319" s="4" t="str">
        <x:v>香槟杯套装</x:v>
      </x:c>
      <x:c r="D319" s="4" t="str">
        <x:v>盛饮香槟或气泡酒</x:v>
      </x:c>
      <x:c r="E319" s="4" t="str">
        <x:v>保留</x:v>
      </x:c>
      <x:c r="F319" s="4" t="str"/>
      <x:c r="G319" s="4" t="str">
        <x:v>3226192</x:v>
      </x:c>
      <x:c r="H319" s="4" t="str">
        <x:v>Copas de champán de plástico</x:v>
      </x:c>
      <x:c r="I319" s="4" t="str">
        <x:v>related_type</x:v>
      </x:c>
      <x:c r="J319" s="4" t="str">
        <x:v>真实香槟杯参照存在，参照为塑料，源未说明材质，不向源补写</x:v>
      </x:c>
      <x:c r="K319" s="4" t="str">
        <x:v>容量、材质和耐用性未独立核实</x:v>
      </x:c>
      <x:c r="L319" s="4" t="str">
        <x:v>https://www.amazon.es/Martini-Juego-copas-c%C3%B3ctel-200/dp/B08LW2R5FQ/ref=sr_1_2924?dib=eyJ2IjoiMSJ9.JqbqlLNjAYkGOHuUUpBddI1sP0QwLTVvxz9ps_WLQWzk946htSXaf0TIJyvyRYKN9POa79rRygcBJ_gJsK7GC1sNaI_yfu2onCwGZ6cZcnGoV-X8rirsSpU1lzptiwiXnT4MaZf0ZK7cK-EGA5yIVNiaUST_lOdup1RgrZwk3LSYpnHi4zKCJPlQ9Ar4fb1d14MsDHwfiDFdJ2SmB-wgbvyS1Sc0cb7Y8Bvp7S26bQMoJoNPPTfk9DTHQAJhrRjVjOC7xH9ZMtBfMNsIfRclrl8p4i4HUywytBD36I9fbuc.Zkh2ifnlSdWoQZ_E9xMwXJKf1s4IVc8b4LEzOYQn_4M&amp;dib_tag=se&amp;qid=1792599250&amp;s=kitchen&amp;sr=1-2924&amp;srs=88626813031&amp;xpid=CeuYXw3Vdr0Bg</x:v>
      </x:c>
      <x:c r="M319" s="4" t="str">
        <x:v>B0_84bacc4c6b66_013148</x:v>
      </x:c>
      <x:c r="N319" s="4" t="str">
        <x:v>bb5d3385f26c1d99b0f72572d80f3dab5fa54bc58fc4907d823204b9d559c873</x:v>
      </x:c>
      <x:c r="O319" s="8"/>
      <x:c r="P319" s="8"/>
      <x:c r="Q319" s="8"/>
      <x:c r="R319" s="8"/>
    </x:row>
    <x:row r="320" ht="90" customHeight="1">
      <x:c r="A320" s="4" t="str">
        <x:v>P316</x:v>
      </x:c>
      <x:c r="B320" s="4" t="str">
        <x:v>Lifewit Separadores Cajones de 10 cm Altura, Organizador Armario, 28 - 40 cm Ajustables Divisores para Almacenaje Ropa/Camisetas/Pantalone, Accesorios para Baño/Cocina/Oficina, Blanco, Paquete 8</x:v>
      </x:c>
      <x:c r="C320" s="4" t="str">
        <x:v>可调节抽屉分隔板</x:v>
      </x:c>
      <x:c r="D320" s="4" t="str">
        <x:v>将抽屉分区整理</x:v>
      </x:c>
      <x:c r="E320" s="4" t="str">
        <x:v>观察</x:v>
      </x:c>
      <x:c r="F320" s="4" t="str">
        <x:v>缺少有效Action参照</x:v>
      </x:c>
      <x:c r="G320" s="4" t="str"/>
      <x:c r="H320" s="4" t="str"/>
      <x:c r="I320" s="4" t="str">
        <x:v>none</x:v>
      </x:c>
      <x:c r="J320" s="4" t="str">
        <x:v>分隔板与完整收纳盒不同，泛整理器名称不证明伸缩分区结构</x:v>
      </x:c>
      <x:c r="K320" s="4" t="str">
        <x:v>抽屉适配和安装方式未核实</x:v>
      </x:c>
      <x:c r="L320" s="4" t="str">
        <x:v>https://www.amazon.es/Lifewit-Separadores-organizadores-separadores-expandibles/dp/B0C4L9TBG3/ref=sr_1_2164?dib=eyJ2IjoiMSJ9.b2UFUGk8DS2FznOAS-Lr2zldZlK-kN5s02NHf2PZB_Yf1dxLCbsYOZB5RPtdcXmz908ofdfnYjblyeIkt1YGSyh6JGuEyk-kBS4_yoGo2s2SiUSJvA7B0rdMlbQYeWRxP9ogmFjqsVf6jA7mG8EOUFV_VpBwOrAr2cPbtXtwZuI-KSZAJptuToOFzqSopxuFmJ-_IAEA9qAeESZdSj71-g3rDOWb-jB7mS1jyazTi8xt4yduStmAUJlGvu4SMqbe4Edsi-ryoxZulNEQQvJy0QLe-dCUBmjC7nEjxfuAA3A.hXK8vq5wn3W0YxqWg6sZCe_Q6E94xb6CQVgwxjAIT-w&amp;dib_tag=se&amp;qid=1792598470&amp;s=kitchen&amp;sr=1-2164&amp;srs=88626813031&amp;xpid=CeuYXw3Vdr0Bg</x:v>
      </x:c>
      <x:c r="M320" s="4" t="str">
        <x:v>B0_84bacc4c6b66_012258</x:v>
      </x:c>
      <x:c r="N320" s="4" t="str">
        <x:v>e1f92339ad71d7113afb2dd2c3b01e152facea6c02ba44cf37b16099f901a8fd</x:v>
      </x:c>
      <x:c r="O320" s="8"/>
      <x:c r="P320" s="8"/>
      <x:c r="Q320" s="8"/>
      <x:c r="R320" s="8"/>
    </x:row>
    <x:row r="321" ht="90" customHeight="1">
      <x:c r="A321" s="4" t="str">
        <x:v>P317</x:v>
      </x:c>
      <x:c r="B321" s="4" t="str">
        <x:v>JUPPLIES Tendedero Extensible Pared Plegable - Tendedero Retráctil Invisible con 5 Barras de Aluminio para Interior o Exterior - Ahorra Espacio con Diseño Compacto (Blanco, 100)</x:v>
      </x:c>
      <x:c r="C321" s="4" t="str">
        <x:v>壁装伸缩晾衣架</x:v>
      </x:c>
      <x:c r="D321" s="4" t="str">
        <x:v>晾晒衣物并节省空间</x:v>
      </x:c>
      <x:c r="E321" s="4" t="str">
        <x:v>观察</x:v>
      </x:c>
      <x:c r="F321" s="4" t="str">
        <x:v>经营边界未确认</x:v>
      </x:c>
      <x:c r="G321" s="4" t="str">
        <x:v>3220252</x:v>
      </x:c>
      <x:c r="H321" s="4" t="str">
        <x:v>Tendedero plegable</x:v>
      </x:c>
      <x:c r="I321" s="4" t="str">
        <x:v>related_type</x:v>
      </x:c>
      <x:c r="J321" s="4" t="str">
        <x:v>折叠晾衣架参照相关，但壁装承重需求按冻结安装边界复核</x:v>
      </x:c>
      <x:c r="K321" s="4" t="str">
        <x:v>安装墙材和承重未核实</x:v>
      </x:c>
      <x:c r="L321" s="4" t="str">
        <x:v>https://www.amazon.es/JUPPLIES-Tendedero-Pared-Plegable-Retractil/dp/B0CBVRBRTS?psc=1</x:v>
      </x:c>
      <x:c r="M321" s="4" t="str">
        <x:v>B0_84bacc4c6b66_010679</x:v>
      </x:c>
      <x:c r="N321" s="4" t="str">
        <x:v>8c3216ee6ebeef89278107ea3efb4b632340b1dcd2246b673c23e20b24db7b16</x:v>
      </x:c>
      <x:c r="O321" s="8"/>
      <x:c r="P321" s="8"/>
      <x:c r="Q321" s="8"/>
      <x:c r="R321" s="8"/>
    </x:row>
    <x:row r="322" ht="90" customHeight="1">
      <x:c r="A322" s="4" t="str">
        <x:v>P318</x:v>
      </x:c>
      <x:c r="B322" s="4" t="str">
        <x:v>KAMINIO® Leni Chimenea eléctrica con Calefactor Negra [Estufa Decorativa] | Estufa eléctrica tipo chimenea decorativa con efecto fuego LED, radiador integrado de 2 niveles [900/1800 W], lista para usar</x:v>
      </x:c>
      <x:c r="C322" s="4" t="str">
        <x:v>仿壁炉电暖器</x:v>
      </x:c>
      <x:c r="D322" s="4" t="str">
        <x:v>室内取暖兼火焰效果装饰</x:v>
      </x:c>
      <x:c r="E322" s="4" t="str">
        <x:v>观察</x:v>
      </x:c>
      <x:c r="F322" s="4" t="str">
        <x:v>经营边界未确认</x:v>
      </x:c>
      <x:c r="G322" s="4" t="str">
        <x:v>3201584</x:v>
      </x:c>
      <x:c r="H322" s="4" t="str">
        <x:v>Calefactor de convección Alpina</x:v>
      </x:c>
      <x:c r="I322" s="4" t="str">
        <x:v>related_type</x:v>
      </x:c>
      <x:c r="J322" s="4" t="str">
        <x:v>电暖器参照支持加热用途，装饰仿火不等于真实燃木炉</x:v>
      </x:c>
      <x:c r="K322" s="4" t="str">
        <x:v>供暖性能、放置和安全要求未核实</x:v>
      </x:c>
      <x:c r="L322" s="4" t="str">
        <x:v>https://www.amazon.es/KAMINIO-Chimenea-el%C3%A9ctrica-Leni-calefacci%C3%B3n/dp/B0FNCY2NZZ?psc=1</x:v>
      </x:c>
      <x:c r="M322" s="4" t="str">
        <x:v>B0_84bacc4c6b66_011052</x:v>
      </x:c>
      <x:c r="N322" s="4" t="str">
        <x:v>af07508e88b21b426789d370c4e4febed57ae39f1f80050cebe15c13d282650f</x:v>
      </x:c>
      <x:c r="O322" s="8"/>
      <x:c r="P322" s="8"/>
      <x:c r="Q322" s="8"/>
      <x:c r="R322" s="8"/>
    </x:row>
    <x:row r="323" ht="90" customHeight="1">
      <x:c r="A323" s="4" t="str">
        <x:v>P319</x:v>
      </x:c>
      <x:c r="B323" s="4" t="str">
        <x:v>Alfombrilla de Halloween con diseño de calavera para exteriores | Diseño llamativo, ilusión óptica 3D, decoración de Halloween, alfombrilla de suelo de calavera, puerta frontal, entrada</x:v>
      </x:c>
      <x:c r="C323" s="4" t="str">
        <x:v>万圣节骷髅门口地垫</x:v>
      </x:c>
      <x:c r="D323" s="4" t="str">
        <x:v>承接鞋底污物并节庆装饰</x:v>
      </x:c>
      <x:c r="E323" s="4" t="str">
        <x:v>保留</x:v>
      </x:c>
      <x:c r="F323" s="4" t="str"/>
      <x:c r="G323" s="4" t="str">
        <x:v>211525</x:v>
      </x:c>
      <x:c r="H323" s="4" t="str">
        <x:v>Felpudo</x:v>
      </x:c>
      <x:c r="I323" s="4" t="str">
        <x:v>related_type</x:v>
      </x:c>
      <x:c r="J323" s="4" t="str">
        <x:v>门垫参照支持入口铺垫用途，浴室垫不作为首要参照</x:v>
      </x:c>
      <x:c r="K323" s="4" t="str">
        <x:v>户外耐候、防滑与图案效果未核实</x:v>
      </x:c>
      <x:c r="L323" s="4" t="str">
        <x:v>https://www.amazon.es/Alfombrilla-Halloween-exteriores-decoraci%C3%B3n-alfombrilla/dp/B0HHMN6XLG?psc=1</x:v>
      </x:c>
      <x:c r="M323" s="4" t="str">
        <x:v>B0_84bacc4c6b66_001093</x:v>
      </x:c>
      <x:c r="N323" s="4" t="str">
        <x:v>b7592e4e47b4542e021c123da506ad430cc5ed5f5bc6b2c59ee39de3125150cf</x:v>
      </x:c>
      <x:c r="O323" s="8"/>
      <x:c r="P323" s="8"/>
      <x:c r="Q323" s="8"/>
      <x:c r="R323" s="8"/>
    </x:row>
    <x:row r="324" ht="90" customHeight="1">
      <x:c r="A324" s="4" t="str">
        <x:v>P320</x:v>
      </x:c>
      <x:c r="B324" s="4" t="str">
        <x:v>Pattex Barrita Arreglatodo, masilla bicomponente especial madera, pasta moldeable para pegar y reparar, resina epoxi barnizable y lijable para varias maderas, tubo 48 g</x:v>
      </x:c>
      <x:c r="C324" s="4" t="str">
        <x:v>双组分木材修补腻子</x:v>
      </x:c>
      <x:c r="D324" s="4" t="str">
        <x:v>粘补木制品缺口</x:v>
      </x:c>
      <x:c r="E324" s="4" t="str">
        <x:v>保留</x:v>
      </x:c>
      <x:c r="F324" s="4" t="str"/>
      <x:c r="G324" s="4" t="str">
        <x:v>3014095</x:v>
      </x:c>
      <x:c r="H324" s="4" t="str">
        <x:v>Masilla para madera TCX</x:v>
      </x:c>
      <x:c r="I324" s="4" t="str">
        <x:v>same_type</x:v>
      </x:c>
      <x:c r="J324" s="4" t="str">
        <x:v>参照木用腻子为明确家居维修消耗品，双组分环氧结构不自动等于工业化学品</x:v>
      </x:c>
      <x:c r="K324" s="4" t="str">
        <x:v>固化、安全及基材适用性未核实</x:v>
      </x:c>
      <x:c r="L324" s="4" t="str">
        <x:v>https://www.amazon.es/Pattex-Barrita-arreglatodo-masilla-adhesiva/dp/B011036J00?psc=1</x:v>
      </x:c>
      <x:c r="M324" s="4" t="str">
        <x:v>B0_84bacc4c6b66_015429</x:v>
      </x:c>
      <x:c r="N324" s="4" t="str">
        <x:v>ea94c516310e3345bb4537aac8c7e48cd069e924d7ba6e82b641aeb005160758</x:v>
      </x:c>
      <x:c r="O324" s="8"/>
      <x:c r="P324" s="8"/>
      <x:c r="Q324" s="8"/>
      <x:c r="R324" s="8"/>
    </x:row>
    <x:row r="325" ht="90" customHeight="1">
      <x:c r="A325" s="4" t="str">
        <x:v>P321</x:v>
      </x:c>
      <x:c r="B325" s="4" t="str">
        <x:v>IBUYKE Botellero Pared 12 Botellas,Botellero Vertical Metal,Negro TMJ909B | Soporte para botellas de Vino Licores Champán Estante de Vino Montado DIY para Cocina Comedor Bar</x:v>
      </x:c>
      <x:c r="C325" s="4" t="str">
        <x:v>壁挂酒瓶收纳架</x:v>
      </x:c>
      <x:c r="D325" s="4" t="str">
        <x:v>悬挂收纳酒瓶</x:v>
      </x:c>
      <x:c r="E325" s="4" t="str">
        <x:v>观察</x:v>
      </x:c>
      <x:c r="F325" s="4" t="str">
        <x:v>经营边界未确认</x:v>
      </x:c>
      <x:c r="G325" s="4" t="str"/>
      <x:c r="H325" s="4" t="str"/>
      <x:c r="I325" s="4" t="str">
        <x:v>none</x:v>
      </x:c>
      <x:c r="J325" s="4" t="str">
        <x:v>酒架是销售主体，不是酒瓶；固定壁装承重与供货形态待复核</x:v>
      </x:c>
      <x:c r="K325" s="4" t="str">
        <x:v>承重、瓶型和墙材适配未核实</x:v>
      </x:c>
      <x:c r="L325" s="4" t="str">
        <x:v>https://www.amazon.es/IBUYKE-Botellero-Botellas-Vertical-TMJ909B/dp/B0F93YJ7HQ?psc=1</x:v>
      </x:c>
      <x:c r="M325" s="4" t="str">
        <x:v>B0_84bacc4c6b66_009974</x:v>
      </x:c>
      <x:c r="N325" s="4" t="str">
        <x:v>44a9938ca44c4ef1471e567b8be535d2ee975b3b00ae670da688685d02ba6012</x:v>
      </x:c>
      <x:c r="O325" s="8"/>
      <x:c r="P325" s="8"/>
      <x:c r="Q325" s="8"/>
      <x:c r="R325" s="8"/>
    </x:row>
    <x:row r="326" ht="90" customHeight="1">
      <x:c r="A326" s="4" t="str">
        <x:v>P322</x:v>
      </x:c>
      <x:c r="B326" s="4" t="str">
        <x:v>Forbabe Secador de hierbas con gancho para colgar | Red de malla para secar hierbas, para plantas, hierbas, especias, verduras, carne (naranja, 8 capas)</x:v>
      </x:c>
      <x:c r="C326" s="4" t="str">
        <x:v>悬挂多层草药晾晒网</x:v>
      </x:c>
      <x:c r="D326" s="4" t="str">
        <x:v>自然晾干植物或食材</x:v>
      </x:c>
      <x:c r="E326" s="4" t="str">
        <x:v>观察</x:v>
      </x:c>
      <x:c r="F326" s="4" t="str">
        <x:v>缺少有效Action参照</x:v>
      </x:c>
      <x:c r="G326" s="4" t="str"/>
      <x:c r="H326" s="4" t="str"/>
      <x:c r="I326" s="4" t="str">
        <x:v>none</x:v>
      </x:c>
      <x:c r="J326" s="4" t="str">
        <x:v>下文明确网状悬挂架，Secador不是电烘干机；仿真植物不是晾晒器参照</x:v>
      </x:c>
      <x:c r="K326" s="4" t="str">
        <x:v>食品接触和肉类晾晒安全未核实</x:v>
      </x:c>
      <x:c r="L326" s="4" t="str">
        <x:v>https://www.amazon.es/Forbabe-Secador-hierbas-especias-verduras/dp/B0H7595Q4L?psc=1</x:v>
      </x:c>
      <x:c r="M326" s="4" t="str">
        <x:v>B0_84bacc4c6b66_007940</x:v>
      </x:c>
      <x:c r="N326" s="4" t="str">
        <x:v>2d36ce3e62b880aff5936b2c118e4005a2142c745d7019f8945da8b2c41bf20e</x:v>
      </x:c>
      <x:c r="O326" s="8"/>
      <x:c r="P326" s="8"/>
      <x:c r="Q326" s="8"/>
      <x:c r="R326" s="8"/>
    </x:row>
    <x:row r="327" ht="90" customHeight="1">
      <x:c r="A327" s="4" t="str">
        <x:v>P323</x:v>
      </x:c>
      <x:c r="B327" s="4" t="str">
        <x:v>GOUYENG Decoración Halloween,3 Piezas Fantasmas Colgantes de Halloween | Luz Fantasma Colgante,Blanco Colgando Fantasmas,Halloween Decoración Colgante,Decoracion para Jardín,Hogar,Árbol</x:v>
      </x:c>
      <x:c r="C327" s="4" t="str">
        <x:v>万圣节发光悬挂幽灵装饰</x:v>
      </x:c>
      <x:c r="D327" s="4" t="str">
        <x:v>布置节日场景</x:v>
      </x:c>
      <x:c r="E327" s="4" t="str">
        <x:v>保留</x:v>
      </x:c>
      <x:c r="F327" s="4" t="str"/>
      <x:c r="G327" s="4" t="str">
        <x:v>3006792</x:v>
      </x:c>
      <x:c r="H327" s="4" t="str">
        <x:v>Decoración de Halloween con luz</x:v>
      </x:c>
      <x:c r="I327" s="4" t="str">
        <x:v>related_type</x:v>
      </x:c>
      <x:c r="J327" s="4" t="str">
        <x:v>参照为发光万圣节装饰，悬挂形态是源区别</x:v>
      </x:c>
      <x:c r="K327" s="4" t="str">
        <x:v>供电、安装和户外适用性未核实</x:v>
      </x:c>
      <x:c r="L327" s="4" t="str">
        <x:v>https://www.amazon.es/GOUYENG-Decoraci%C3%B3n-Halloween-Fantasmas-Decoracion/dp/B0HCTSGF8H?psc=1</x:v>
      </x:c>
      <x:c r="M327" s="4" t="str">
        <x:v>B0_84bacc4c6b66_008238</x:v>
      </x:c>
      <x:c r="N327" s="4" t="str">
        <x:v>3567b31c3a2645848bc97b519739f399ee2794c29de5e1ff14b1d4db7672a56f</x:v>
      </x:c>
      <x:c r="O327" s="8"/>
      <x:c r="P327" s="8"/>
      <x:c r="Q327" s="8"/>
      <x:c r="R327" s="8"/>
    </x:row>
    <x:row r="328" ht="90" customHeight="1">
      <x:c r="A328" s="4" t="str">
        <x:v>P324</x:v>
      </x:c>
      <x:c r="B328" s="4" t="str">
        <x:v>Cuenco para matcha con diseño de gato puking, divertido chawan de cerámica | Cara de gato vomitando caprichosa, cuenco de cerámica 3D verde celadón chawan matcha para los amantes del matcha y regalo</x:v>
      </x:c>
      <x:c r="C328" s="4" t="str">
        <x:v>猫造型陶瓷抹茶碗</x:v>
      </x:c>
      <x:c r="D328" s="4" t="str">
        <x:v>调制或盛饮抹茶</x:v>
      </x:c>
      <x:c r="E328" s="4" t="str">
        <x:v>保留</x:v>
      </x:c>
      <x:c r="F328" s="4" t="str"/>
      <x:c r="G328" s="4" t="str">
        <x:v>3213861</x:v>
      </x:c>
      <x:c r="H328" s="4" t="str">
        <x:v>Cuenco</x:v>
      </x:c>
      <x:c r="I328" s="4" t="str">
        <x:v>related_type</x:v>
      </x:c>
      <x:c r="J328" s="4" t="str">
        <x:v>碗类参照支持盛放饮品的容器主体，猫造型不是宠物食盆证据</x:v>
      </x:c>
      <x:c r="K328" s="4" t="str">
        <x:v>釉面与食品接触适用性未核实</x:v>
      </x:c>
      <x:c r="L328" s="4" t="str">
        <x:v>https://www.amazon.es/divertido-cer%C3%A1mica-vomitando-caprichosa-celad%C3%B3n/dp/B0HMK2YLP4?psc=1</x:v>
      </x:c>
      <x:c r="M328" s="4" t="str">
        <x:v>B0_84bacc4c6b66_023696</x:v>
      </x:c>
      <x:c r="N328" s="4" t="str">
        <x:v>08e4eff260fa96fe65383da03309ff01beb339dd54cdf79dc36b1e860175ac99</x:v>
      </x:c>
      <x:c r="O328" s="8"/>
      <x:c r="P328" s="8"/>
      <x:c r="Q328" s="8"/>
      <x:c r="R328" s="8"/>
    </x:row>
    <x:row r="329" ht="90" customHeight="1">
      <x:c r="A329" s="4" t="str">
        <x:v>P325</x:v>
      </x:c>
      <x:c r="B329" s="4" t="str">
        <x:v>Calcomanías de Navidad para ventana, 9 hojas de 20 x 30 cm, reutilizables, color blanco, calcomanías de reno, copo de nieve, pino, para decoración de ventana de Navidad</x:v>
      </x:c>
      <x:c r="C329" s="4" t="str">
        <x:v>圣诞窗贴</x:v>
      </x:c>
      <x:c r="D329" s="4" t="str">
        <x:v>装饰窗面</x:v>
      </x:c>
      <x:c r="E329" s="4" t="str">
        <x:v>观察</x:v>
      </x:c>
      <x:c r="F329" s="4" t="str">
        <x:v>缺少有效Action参照</x:v>
      </x:c>
      <x:c r="G329" s="4" t="str"/>
      <x:c r="H329" s="4" t="str"/>
      <x:c r="I329" s="4" t="str">
        <x:v>none</x:v>
      </x:c>
      <x:c r="J329" s="4" t="str">
        <x:v>窗贴主体明确，圣诞立体摆件和装饰雪花未证明粘贴窗面形态</x:v>
      </x:c>
      <x:c r="K329" s="4" t="str">
        <x:v>可复用、移除和玻璃适配未核实</x:v>
      </x:c>
      <x:c r="L329" s="4" t="str">
        <x:v>https://www.amazon.es/Calcoman%C3%ADas-adhesivos-calcoman%C3%ADas-est%C3%A1ticas-reutilizables/dp/B0HHDTHVKT?psc=1</x:v>
      </x:c>
      <x:c r="M329" s="4" t="str">
        <x:v>B0_84bacc4c6b66_004034</x:v>
      </x:c>
      <x:c r="N329" s="4" t="str">
        <x:v>bd68a33e2ebc618975bcac02d103353b16b37e384d59dd5d48eb71431bd2ef09</x:v>
      </x:c>
      <x:c r="O329" s="8"/>
      <x:c r="P329" s="8"/>
      <x:c r="Q329" s="8"/>
      <x:c r="R329" s="8"/>
    </x:row>
    <x:row r="330" ht="90" customHeight="1">
      <x:c r="A330" s="4" t="str">
        <x:v>P326</x:v>
      </x:c>
      <x:c r="B330" s="4" t="str">
        <x:v>Espumador de Leche Eléctrico 4 en 1 – Espumador Automático de Leche de 300 ml de Gran Capacidad Vaporizador de Leche Silencioso para Espuma de Leche Fría Caliente Chocolate Caliente Latte Capuchino</x:v>
      </x:c>
      <x:c r="C330" s="4" t="str">
        <x:v>自动冷热奶泡器</x:v>
      </x:c>
      <x:c r="D330" s="4" t="str">
        <x:v>加热或搅打奶泡</x:v>
      </x:c>
      <x:c r="E330" s="4" t="str">
        <x:v>观察</x:v>
      </x:c>
      <x:c r="F330" s="4" t="str">
        <x:v>经营边界未确认</x:v>
      </x:c>
      <x:c r="G330" s="4" t="str">
        <x:v>3011934</x:v>
      </x:c>
      <x:c r="H330" s="4" t="str">
        <x:v>Espumador de leche Tomado Superior</x:v>
      </x:c>
      <x:c r="I330" s="4" t="str">
        <x:v>related_type</x:v>
      </x:c>
      <x:c r="J330" s="4" t="str">
        <x:v>参照奶泡器相关，源增加冷热处理，保持小家电边界复核</x:v>
      </x:c>
      <x:c r="K330" s="4" t="str">
        <x:v>容量、温控和噪音未核实</x:v>
      </x:c>
      <x:c r="L330" s="4" t="str">
        <x:v>https://www.amazon.es/Espumador-Leche-El%C3%A9ctrico-Autom%C3%A1tico-Vaporizador/dp/B0BTRT1ZDS/ref=sr_1_4220_mod_primary_new?dib=eyJ2IjoiMSJ9.WEetlGJBKOHJw0IKWxVNRbiBwKbptst5eDmUzBrAB1ubd--JFcfvGmq5B01bbc9CQ_kfEgSmt_jgCY10vD97HexNXik3Fji9T062kmw6YZhIVOswlL5wOqz-rN0QMzavs_7UUMV4HyYWT2LXWdermtYrJQxQFTJobBpYELtbtJ9orgLILdHELcma6abu-0L11o7Vg5W4vkvi0Q73Qtpf_OS229Cz4khldRsDYuzviP90jeLCoQw7N3fqLCcmMfEisZirdQwk4LiPMZFvgzY4hZ4mmsNLETShBxgIMQqzPBg.XFnU2TrEE9uG3KEQkYFPt8SiUKxtDaVYGbL-Tj3d924&amp;dib_tag=se&amp;qid=1792653257&amp;s=kitchen&amp;sbo=RZvfv%2F%2FHxDF%2BO5021pAnSA%3D%3D&amp;sr=1-4220&amp;srs=88626813031&amp;xpid=qpnO31ULD-dQ4</x:v>
      </x:c>
      <x:c r="M330" s="4" t="str">
        <x:v>B0_84bacc4c6b66_007159</x:v>
      </x:c>
      <x:c r="N330" s="4" t="str">
        <x:v>586fe08192b4a00453dca0426f337d2f3e845fcb9481291dbba963d09eaf44cc</x:v>
      </x:c>
      <x:c r="O330" s="8"/>
      <x:c r="P330" s="8"/>
      <x:c r="Q330" s="8"/>
      <x:c r="R330" s="8"/>
    </x:row>
    <x:row r="331" ht="90" customHeight="1">
      <x:c r="A331" s="4" t="str">
        <x:v>P327</x:v>
      </x:c>
      <x:c r="B331" s="4" t="str">
        <x:v>Bartender Kit 11-Piezas Coctelera-Mezclador para Cócteles 25oz Boston Shaker-Accesorios de Bar con Elegante Soporte de Bambú Mix Drink Shaker Kit Kit Martini…</x:v>
      </x:c>
      <x:c r="C331" s="4" t="str">
        <x:v>鸡尾酒摇酒器工具套装</x:v>
      </x:c>
      <x:c r="D331" s="4" t="str">
        <x:v>调制鸡尾酒</x:v>
      </x:c>
      <x:c r="E331" s="4" t="str">
        <x:v>观察</x:v>
      </x:c>
      <x:c r="F331" s="4" t="str">
        <x:v>参照仅覆盖套装部分</x:v>
      </x:c>
      <x:c r="G331" s="4" t="str">
        <x:v>3215995</x:v>
      </x:c>
      <x:c r="H331" s="4" t="str">
        <x:v>Coctelera de acero inoxidable</x:v>
      </x:c>
      <x:c r="I331" s="4" t="str">
        <x:v>related_type</x:v>
      </x:c>
      <x:c r="J331" s="4" t="str">
        <x:v>真实摇酒器只覆盖11件套一部分，竹架与其他工具不能靠单件参照完整证明；参照不足以支持完整销售主体</x:v>
      </x:c>
      <x:c r="K331" s="4" t="str">
        <x:v>全套配件和材质未明确</x:v>
      </x:c>
      <x:c r="L331" s="4" t="str">
        <x:v>https://www.amazon.es/Bartender-11-Piezas-Coctelera-Mezclador-C%C3%B3cteles-Shaker-Accesorios/dp/B0BRXKTBT9/ref=sr_1_3377?dib=eyJ2IjoiMSJ9.OFTGYUoVXq4P3OplVujog-ZGGg2jdonemmcgrjicm10XseLpEqLEpwlNkwvcu_f5B2R2W6bd5EMXpc2hBRP4phj_zQUCa6s4zI3BRDYWQrMOAGuyDHaidLRWnOAokSzUMsIOp2K6pScG6F6a9z9YQfMwQdH9k0Rev4Pp9ryTLCO8UDV4hMERiAvpq1LETjvC57Z6YDxdq8DyTlBZkmCOSK0oWAZT_o4rP_SrAHGjGshc8PvwhFSgmQ4rLhQFJkgkk3uK4A6cay4OrQmhLLni7oy6O66rWzM6qq4ISLt9ZNI.GEReU_iyRlTN0DpMYkmj8Tc0KD7qZMzC04dt-lEhml4&amp;dib_tag=se&amp;qid=1792599785&amp;s=kitchen&amp;sr=1-3377&amp;srs=88626813031&amp;xpid=CeuYXw3Vdr0Bg</x:v>
      </x:c>
      <x:c r="M331" s="4" t="str">
        <x:v>B0_84bacc4c6b66_002570</x:v>
      </x:c>
      <x:c r="N331" s="4" t="str">
        <x:v>9f616ae974863dc6907b4d4df7244450ec9ab4d9de3349985dd7f7f9c65fbd9e</x:v>
      </x:c>
      <x:c r="O331" s="8"/>
      <x:c r="P331" s="8"/>
      <x:c r="Q331" s="8"/>
      <x:c r="R331" s="8"/>
    </x:row>
    <x:row r="332" ht="90" customHeight="1">
      <x:c r="A332" s="4" t="str">
        <x:v>P328</x:v>
      </x:c>
      <x:c r="B332" s="4" t="str">
        <x:v>Cecotec Humidificador Ultrasónico con Difusor de Aromas Pure Aroma 300 Yin Grey. Depósito de hasta 300ml, 7 Colores LED Ajustables, Temporizador 10h, Ultrasilencioso, Función de Aromaterapia</x:v>
      </x:c>
      <x:c r="C332" s="4" t="str">
        <x:v>超声波加湿香薰机</x:v>
      </x:c>
      <x:c r="D332" s="4" t="str">
        <x:v>室内加湿和扩香</x:v>
      </x:c>
      <x:c r="E332" s="4" t="str">
        <x:v>观察</x:v>
      </x:c>
      <x:c r="F332" s="4" t="str">
        <x:v>经营边界未确认</x:v>
      </x:c>
      <x:c r="G332" s="4" t="str">
        <x:v>3217085</x:v>
      </x:c>
      <x:c r="H332" s="4" t="str">
        <x:v>Difusor de aromas con luz Deluxa</x:v>
      </x:c>
      <x:c r="I332" s="4" t="str">
        <x:v>related_type</x:v>
      </x:c>
      <x:c r="J332" s="4" t="str">
        <x:v>带灯扩香器支持部分用途，但原文强调超声加湿，小家电边界待确认</x:v>
      </x:c>
      <x:c r="K332" s="4" t="str">
        <x:v>加湿效果、定时和香薰使用条件未核实</x:v>
      </x:c>
      <x:c r="L332" s="4" t="str">
        <x:v>https://www.amazon.es/Cecotec-Humidificador-Temporizador-Ultrasilencioso-Aromaterapia/dp/B0F6D3KH11/ref=sr_1_484?dib=eyJ2IjoiMSJ9.ymVOHNr-Izn6ZUKb67RNPterTTPEsq3cLcclx07z0oZoaHDqqSTQkDu5Gp7AkR1FmDnn4VKYOKiUjREGPXoXkuMjMXSLUHD2yRxNf_rxoTuHWpvHGOcnOW-X5hSRjxdQfwpxhK7T-juuon9BV1An8G9FnTlCScqQyjT5rfosc3n_AxcSUba_cd2sa11NLG7jBOgejwk9gM0dLHGHcqGDiRR706lqYvz3cv2Yv8o6f95f49NfwUeiWZwLwxvYZ3c02roY0I7ZzGc7Uf4oUMB5enmh1cdLNeB2m875eB-JL0A.2bkHao-KxvV1B9W6BVhf8nG9Ilj9SI8_IMBq-_JPNB0&amp;dib_tag=se&amp;qid=1792596614&amp;s=kitchen&amp;sr=1-484&amp;srs=88626813031&amp;xpid=CeuYXw3Vdr0Bg</x:v>
      </x:c>
      <x:c r="M332" s="4" t="str">
        <x:v>B0_84bacc4c6b66_004399</x:v>
      </x:c>
      <x:c r="N332" s="4" t="str">
        <x:v>ce557d827fe83dc06e5615c55a3de7b32ada80019e20ca126de95b2b73a5e01f</x:v>
      </x:c>
      <x:c r="O332" s="8"/>
      <x:c r="P332" s="8"/>
      <x:c r="Q332" s="8"/>
      <x:c r="R332" s="8"/>
    </x:row>
    <x:row r="333" ht="90" customHeight="1">
      <x:c r="A333" s="4" t="str">
        <x:v>P329</x:v>
      </x:c>
      <x:c r="B333" s="4" t="str">
        <x:v>Maestri House Espumador de Leche, Recargable Espumador Leche Electrico | con Agitador de Acero Inoxidable, Mini Batidor Electrico para Café, matcha, Lattes, capuchino, LunaFro Mini</x:v>
      </x:c>
      <x:c r="C333" s="4" t="str">
        <x:v>可充电电动奶泡器</x:v>
      </x:c>
      <x:c r="D333" s="4" t="str">
        <x:v>搅打饮品泡沫</x:v>
      </x:c>
      <x:c r="E333" s="4" t="str">
        <x:v>观察</x:v>
      </x:c>
      <x:c r="F333" s="4" t="str">
        <x:v>经营边界未确认</x:v>
      </x:c>
      <x:c r="G333" s="4" t="str">
        <x:v>3011080</x:v>
      </x:c>
      <x:c r="H333" s="4" t="str">
        <x:v>Espumador de leche DAY</x:v>
      </x:c>
      <x:c r="I333" s="4" t="str">
        <x:v>same_type</x:v>
      </x:c>
      <x:c r="J333" s="4" t="str">
        <x:v>参照奶泡器同类，不因体积小而跳过冻结边界</x:v>
      </x:c>
      <x:c r="K333" s="4" t="str">
        <x:v>充电和搅打性能未核实</x:v>
      </x:c>
      <x:c r="L333" s="4" t="str">
        <x:v>https://www.amazon.es/Maestri-House-recargable-impermeable-desmontable/dp/B0D49N8JXM?psc=1</x:v>
      </x:c>
      <x:c r="M333" s="4" t="str">
        <x:v>B0_84bacc4c6b66_012971</x:v>
      </x:c>
      <x:c r="N333" s="4" t="str">
        <x:v>d393780c510e396385d609b1afaf78e2af66d3690ed3b51df955952b01e7301d</x:v>
      </x:c>
      <x:c r="O333" s="8"/>
      <x:c r="P333" s="8"/>
      <x:c r="Q333" s="8"/>
      <x:c r="R333" s="8"/>
    </x:row>
    <x:row r="334" ht="90" customHeight="1">
      <x:c r="A334" s="4" t="str">
        <x:v>P330</x:v>
      </x:c>
      <x:c r="B334" s="4" t="str">
        <x:v>Juego de Vajilla para 6 Personas Cerámica, vancasso KRVI 24 Piezas Vajilla Moderna de Porcelana, Servicio de Mesa Estilo Bohémio, Juego de Platos y Cuencos, Servicio Combinado de Colores</x:v>
      </x:c>
      <x:c r="C334" s="4" t="str">
        <x:v>六人陶瓷餐具套装</x:v>
      </x:c>
      <x:c r="D334" s="4" t="str">
        <x:v>盛装日常餐食</x:v>
      </x:c>
      <x:c r="E334" s="4" t="str">
        <x:v>保留</x:v>
      </x:c>
      <x:c r="F334" s="4" t="str"/>
      <x:c r="G334" s="4" t="str">
        <x:v>3208679</x:v>
      </x:c>
      <x:c r="H334" s="4" t="str">
        <x:v>Juego de vajilla Alvär</x:v>
      </x:c>
      <x:c r="I334" s="4" t="str">
        <x:v>same_type</x:v>
      </x:c>
      <x:c r="J334" s="4" t="str">
        <x:v>参照餐具套装覆盖盘碗等餐用组合，不能由彩色词匹配画材</x:v>
      </x:c>
      <x:c r="K334" s="4" t="str">
        <x:v>24件清单与瓷材性能未核实</x:v>
      </x:c>
      <x:c r="L334" s="4" t="str">
        <x:v>https://www.amazon.es/Personas-Cer%C3%A1mica-vancasso-Porcelana-Combinado/dp/B0G2XMH5L2/ref=sr_1_2972?dib=eyJ2IjoiMSJ9.iy8uCgRI78y3lLBJ1ntu42edhOcZM8pJT_CnpVIiko6-KUGyw5wJOMqofCaj4cYMqz-7-PfpNaWdbukNyUWdIag0NM3Uo87IS22qj4fLgSRpydfGQw7wXXEoG2zGl3hir79DCBGwlBWkMzpT06e_XT32T6BavKaNjPdlA0QEXUri9uPUeXXzu5E9AxRK6ddySTu2fldzUlc92A0JtWiQOPT2qEqdmM4UQX6xKcTpjeY-LV1eK38UMZBFSoIqsTZOMEAhsAfMmdavONvIgFgU8cuaRPu0J0WxjwELVL5vFQ8.-8_QjZJPKP7NmRpi95kj7Lq9rsVhWdn0E1Sb7D7Lsow&amp;dib_tag=se&amp;qid=1792599306&amp;s=kitchen&amp;sr=1-2972&amp;srs=88626813031&amp;xpid=CeuYXw3Vdr0Bg</x:v>
      </x:c>
      <x:c r="M334" s="4" t="str">
        <x:v>B0_84bacc4c6b66_015594</x:v>
      </x:c>
      <x:c r="N334" s="4" t="str">
        <x:v>15c9939d3ca47766a0f85143accd8cba623bbabdc39addf69cf6ceb5107f0c1d</x:v>
      </x:c>
      <x:c r="O334" s="8"/>
      <x:c r="P334" s="8"/>
      <x:c r="Q334" s="8"/>
      <x:c r="R334" s="8"/>
    </x:row>
    <x:row r="335" ht="90" customHeight="1">
      <x:c r="A335" s="4" t="str">
        <x:v>P331</x:v>
      </x:c>
      <x:c r="B335" s="4" t="str">
        <x:v>HOOBRO Caja Joyero, Organizador de Joyas de 5 Niveles, Blanco | Bandeja Giratoria 360°, con 4 Cajones, Tapa de Cristal y Forro de Terciopelo, para Collares, Anillos y Pulseras</x:v>
      </x:c>
      <x:c r="C335" s="4" t="str">
        <x:v>多层抽屉首饰盒</x:v>
      </x:c>
      <x:c r="D335" s="4" t="str">
        <x:v>分类存放首饰</x:v>
      </x:c>
      <x:c r="E335" s="4" t="str">
        <x:v>保留</x:v>
      </x:c>
      <x:c r="F335" s="4" t="str"/>
      <x:c r="G335" s="4" t="str">
        <x:v>3223999</x:v>
      </x:c>
      <x:c r="H335" s="4" t="str">
        <x:v>Joyero con espejo y cajones</x:v>
      </x:c>
      <x:c r="I335" s="4" t="str">
        <x:v>same_type</x:v>
      </x:c>
      <x:c r="J335" s="4" t="str">
        <x:v>找到带抽屉首饰盒具体参照，旋转托盘不是单独销售主体</x:v>
      </x:c>
      <x:c r="K335" s="4" t="str">
        <x:v>旋转、内衬和抽屉尺寸未核实</x:v>
      </x:c>
      <x:c r="L335" s="4" t="str">
        <x:v>https://www.amazon.es/HOOBRO-Joyero-Organizador-Niveles-Blanco/dp/B0GYDYLCCZ?psc=1</x:v>
      </x:c>
      <x:c r="M335" s="4" t="str">
        <x:v>B0_84bacc4c6b66_009217</x:v>
      </x:c>
      <x:c r="N335" s="4" t="str">
        <x:v>3ca1a215c50b1f4bba511f7a69fbc74aa79cf78a8e7fed7fbee0d1095bbf19ba</x:v>
      </x:c>
      <x:c r="O335" s="8"/>
      <x:c r="P335" s="8"/>
      <x:c r="Q335" s="8"/>
      <x:c r="R335" s="8"/>
    </x:row>
    <x:row r="336" ht="90" customHeight="1">
      <x:c r="A336" s="4" t="str">
        <x:v>P332</x:v>
      </x:c>
      <x:c r="B336" s="4" t="str">
        <x:v>Pébéo 773120 - Tubo portaláminas</x:v>
      </x:c>
      <x:c r="C336" s="4" t="str">
        <x:v>图纸画作收纳筒</x:v>
      </x:c>
      <x:c r="D336" s="4" t="str">
        <x:v>携带或保护卷起的纸张图稿</x:v>
      </x:c>
      <x:c r="E336" s="4" t="str">
        <x:v>观察</x:v>
      </x:c>
      <x:c r="F336" s="4" t="str">
        <x:v>缺少有效Action参照</x:v>
      </x:c>
      <x:c r="G336" s="4" t="str"/>
      <x:c r="H336" s="4" t="str"/>
      <x:c r="I336" s="4" t="str">
        <x:v>none</x:v>
      </x:c>
      <x:c r="J336" s="4" t="str">
        <x:v>portaláminas说明用于装片材的筒，亮粉管与灯管无相同用途</x:v>
      </x:c>
      <x:c r="K336" s="4" t="str">
        <x:v>尺寸和伸缩结构未说明</x:v>
      </x:c>
      <x:c r="L336" s="4" t="str">
        <x:v>https://www.amazon.es/P%C3%A9b%C3%A9o-773120-Tubo-portal%C3%A1minas/dp/B005KOGPTQ?psc=1</x:v>
      </x:c>
      <x:c r="M336" s="4" t="str">
        <x:v>B0_84bacc4c6b66_014966</x:v>
      </x:c>
      <x:c r="N336" s="4" t="str">
        <x:v>ac4456bada9493361a297e49f7bb9e6aba1f0d80b52d32ccbb4b93c62571b824</x:v>
      </x:c>
      <x:c r="O336" s="8"/>
      <x:c r="P336" s="8"/>
      <x:c r="Q336" s="8"/>
      <x:c r="R336" s="8"/>
    </x:row>
    <x:row r="337" ht="90" customHeight="1">
      <x:c r="A337" s="4" t="str">
        <x:v>P333</x:v>
      </x:c>
      <x:c r="B337" s="4" t="str">
        <x:v>Amazon Basics Rectangular Tapete de Silicona para Hornear, Juego de 2 Unidad, Beige/Negro, 29.5cm x 42.0cm</x:v>
      </x:c>
      <x:c r="C337" s="4" t="str">
        <x:v>硅胶烘焙垫</x:v>
      </x:c>
      <x:c r="D337" s="4" t="str">
        <x:v>垫放食材辅助烘烤</x:v>
      </x:c>
      <x:c r="E337" s="4" t="str">
        <x:v>保留</x:v>
      </x:c>
      <x:c r="F337" s="4" t="str"/>
      <x:c r="G337" s="4" t="str">
        <x:v>2511058</x:v>
      </x:c>
      <x:c r="H337" s="4" t="str">
        <x:v>Tapete de silicona para horno La Cucina</x:v>
      </x:c>
      <x:c r="I337" s="4" t="str">
        <x:v>same_type</x:v>
      </x:c>
      <x:c r="J337" s="4" t="str">
        <x:v>参照硅胶烤箱垫同类，不能与通用手工垫互换</x:v>
      </x:c>
      <x:c r="K337" s="4" t="str">
        <x:v>食品接触与耐温未核实</x:v>
      </x:c>
      <x:c r="L337" s="4" t="str">
        <x:v>https://www.amazon.es/Amazon-Basics-Silicone-Baking-Mat/dp/B0725GYNG6?psc=1</x:v>
      </x:c>
      <x:c r="M337" s="4" t="str">
        <x:v>B0_84bacc4c6b66_001364</x:v>
      </x:c>
      <x:c r="N337" s="4" t="str">
        <x:v>ba647069e1473ce0c9939d3a900704f390244ad3a63e6b6b9b2685672a763e3c</x:v>
      </x:c>
      <x:c r="O337" s="8"/>
      <x:c r="P337" s="8"/>
      <x:c r="Q337" s="8"/>
      <x:c r="R337" s="8"/>
    </x:row>
    <x:row r="338" ht="90" customHeight="1">
      <x:c r="A338" s="4" t="str">
        <x:v>P334</x:v>
      </x:c>
      <x:c r="B338" s="4" t="str">
        <x:v>Ninja Foodi Horno Multifunción 8 en 1 con Función Air Fry, Plata y Negro</x:v>
      </x:c>
      <x:c r="C338" s="4" t="str">
        <x:v>带热风炸功能多用途烤箱</x:v>
      </x:c>
      <x:c r="D338" s="4" t="str">
        <x:v>烤制食物</x:v>
      </x:c>
      <x:c r="E338" s="4" t="str">
        <x:v>观察</x:v>
      </x:c>
      <x:c r="F338" s="4" t="str">
        <x:v>经营边界未确认</x:v>
      </x:c>
      <x:c r="G338" s="4" t="str">
        <x:v>3225024</x:v>
      </x:c>
      <x:c r="H338" s="4" t="str">
        <x:v>Freidora de aire XXL</x:v>
      </x:c>
      <x:c r="I338" s="4" t="str">
        <x:v>related_type</x:v>
      </x:c>
      <x:c r="J338" s="4" t="str">
        <x:v>空气炸锅参照支持热风烹饪需求，原文未说明尺寸或嵌入方式，不升为大家电排除</x:v>
      </x:c>
      <x:c r="K338" s="4" t="str">
        <x:v>大小、安装和功能性能未明确</x:v>
      </x:c>
      <x:c r="L338" s="4" t="str">
        <x:v>https://www.amazon.es/Ninja-Foodi-Horno-Multifunci%C3%B3n-SP101EU/dp/B08P22VJ3T/ref=sr_1_2026_mod_primary_new?dib=eyJ2IjoiMSJ9.G67TQQ3CwJyDpFhx_78Fk3LJsC_viejBNRKysa2RXPplbu4NE_7Ght96YaOjZRwQ2eh-NkncKp0EwUWtabTLohCSzf1w0RlPwfqyEmfXX7UmL0tLLeHA4Huig_JOcU6HtboeLPd7fnGATvUMGZKqdwmkk0mLbcFDjtzVs4e-9TMN9G_eqkbMvd_UB2SRGYUMPegun8y1QhuYjuNLGv3qRka3EaJejeh6eXjpT2Pyscm-3kSn-gKEAmwNkTaa3771g7TMEBcwT5jYhLzuFs8gAXRJdXogQkdTjZJi6mSzyfQ.mTbgDdEecrX7u1Pv1Tq_wtkMJoqx6ul2sgpTEwQpx4A&amp;dib_tag=se&amp;qid=1792650523&amp;s=kitchen&amp;sbo=RZvfv%2F%2FHxDF%2BO5021pAnSA%3D%3D&amp;sr=1-2026&amp;srs=88626813031&amp;xpid=qpnO31ULD-dQ4</x:v>
      </x:c>
      <x:c r="M338" s="4" t="str">
        <x:v>B0_84bacc4c6b66_014267</x:v>
      </x:c>
      <x:c r="N338" s="4" t="str">
        <x:v>1cd08252e9a5376404fd86efe70b041dd6d56359829d290d9e3392223e6c851e</x:v>
      </x:c>
      <x:c r="O338" s="8"/>
      <x:c r="P338" s="8"/>
      <x:c r="Q338" s="8"/>
      <x:c r="R338" s="8"/>
    </x:row>
    <x:row r="339" ht="90" customHeight="1">
      <x:c r="A339" s="4" t="str">
        <x:v>P335</x:v>
      </x:c>
      <x:c r="B339" s="4" t="str">
        <x:v>DIYGEEK Estantería Ducha Negro, 1 Pieza | Repisa Colgante para Accesorios de Baño de Altura Regulable para Barras de Ducha con Diámetro de 18-25 mm</x:v>
      </x:c>
      <x:c r="C339" s="4" t="str">
        <x:v>淋浴杆夹装收纳架</x:v>
      </x:c>
      <x:c r="D339" s="4" t="str">
        <x:v>收纳洗浴用品</x:v>
      </x:c>
      <x:c r="E339" s="4" t="str">
        <x:v>保留</x:v>
      </x:c>
      <x:c r="F339" s="4" t="str"/>
      <x:c r="G339" s="4" t="str">
        <x:v>3016459</x:v>
      </x:c>
      <x:c r="H339" s="4" t="str">
        <x:v>Estantería de ducha</x:v>
      </x:c>
      <x:c r="I339" s="4" t="str">
        <x:v>same_type</x:v>
      </x:c>
      <x:c r="J339" s="4" t="str">
        <x:v>真实淋浴收纳架参照相关，杆径适配是通用收纳附件要求，不继承淋浴整机边界</x:v>
      </x:c>
      <x:c r="K339" s="4" t="str">
        <x:v>夹装承重和杆径范围未独立核实</x:v>
      </x:c>
      <x:c r="L339" s="4" t="str">
        <x:v>https://www.amazon.es/DIYGEEK-Estanter%C3%ADa-Colgante-Accesorios-Regulable/dp/B0F21TFC56?psc=1</x:v>
      </x:c>
      <x:c r="M339" s="4" t="str">
        <x:v>B0_84bacc4c6b66_005604</x:v>
      </x:c>
      <x:c r="N339" s="4" t="str">
        <x:v>31c1332a35d289f28f36c3290870f0bdde18bb201a4919c87e94a85a31355b82</x:v>
      </x:c>
      <x:c r="O339" s="8"/>
      <x:c r="P339" s="8"/>
      <x:c r="Q339" s="8"/>
      <x:c r="R339" s="8"/>
    </x:row>
    <x:row r="340" ht="90" customHeight="1">
      <x:c r="A340" s="4" t="str">
        <x:v>P336</x:v>
      </x:c>
      <x:c r="B340" s="4" t="str">
        <x:v>VASAGLE Escritorio en Forma de L con 2 Amplios Cajones, para Esquina</x:v>
      </x:c>
      <x:c r="C340" s="4" t="str">
        <x:v>L形带抽屉书桌</x:v>
      </x:c>
      <x:c r="D340" s="4" t="str">
        <x:v>提供办公或学习桌面</x:v>
      </x:c>
      <x:c r="E340" s="4" t="str">
        <x:v>观察</x:v>
      </x:c>
      <x:c r="F340" s="4" t="str">
        <x:v>经营边界未确认</x:v>
      </x:c>
      <x:c r="G340" s="4" t="str"/>
      <x:c r="H340" s="4" t="str"/>
      <x:c r="I340" s="4" t="str">
        <x:v>none</x:v>
      </x:c>
      <x:c r="J340" s="4" t="str">
        <x:v>完整书桌与桌面整理盒不同，未将摆放物件参照当整家具</x:v>
      </x:c>
      <x:c r="K340" s="4" t="str">
        <x:v>尺寸、安装和材质未说明</x:v>
      </x:c>
      <x:c r="L340" s="4" t="str">
        <x:v>https://www.amazon.es/VASAGLE-Escritorio-Almacenaje-Ajustable-LWD098B56/dp/B0CQRCD612/ref=sr_1_3870?dib=eyJ2IjoiMSJ9.3kM90ARqCA5UkArqbVLMrRJ0yNT9TjBI3xH-oSq6hPnQ218BSShpXH0ZT-Gypsaqi0P2wzqL3I3A_7pLA4XTB8wXFrzIQYEUOvf7TlKtPpERs3MrgCtW-nrT6htmvSq4wxgOK5nGg-a8kAlYeLAAHPktCTVHpkcQlDnBRwNIukhPDSzghUoAyRT5KgME2Hx64mOo-Uu_NSWtkXIysa2LUpPru56K8Pwe_2KZ497AZTOeMT4ZsXe8d3Aw8lkMmHRY2sPlci3WPM0nKeH-oUjNuXdZ1Bo8FE_VXSfFTv5NHP0.SplRlUjQD3oiA2vEdQUaCnPlgHsFDFGbyh2zYI4Cvaw&amp;dib_tag=se&amp;qid=1792652740&amp;s=kitchen&amp;sr=1-3870&amp;srs=88626813031&amp;xpid=qpnO31ULD-dQ4</x:v>
      </x:c>
      <x:c r="M340" s="4" t="str">
        <x:v>B0_84bacc4c6b66_020861</x:v>
      </x:c>
      <x:c r="N340" s="4" t="str">
        <x:v>57512ba11ab425306cc7374c43963e741134adb4fa6f81e3b8e41e599a6a43f4</x:v>
      </x:c>
      <x:c r="O340" s="8"/>
      <x:c r="P340" s="8"/>
      <x:c r="Q340" s="8"/>
      <x:c r="R340" s="8"/>
    </x:row>
    <x:row r="341" ht="90" customHeight="1">
      <x:c r="A341" s="4" t="str">
        <x:v>P337</x:v>
      </x:c>
      <x:c r="B341" s="4" t="str">
        <x:v>Muwirru 40pcs Ganchos Cortinas Riel con 40 Gancho en Forma de S | Cantidad Suficiente,Silencioso,Funcionamiento Suave,Instalación Fácil,para Cortinas de Ducha y Separadores de Ambientes</x:v>
      </x:c>
      <x:c r="C341" s="4" t="str">
        <x:v>窗帘轨道滑钩及S钩</x:v>
      </x:c>
      <x:c r="D341" s="4" t="str">
        <x:v>悬挂窗帘并连接轨道</x:v>
      </x:c>
      <x:c r="E341" s="4" t="str">
        <x:v>观察</x:v>
      </x:c>
      <x:c r="F341" s="4" t="str">
        <x:v>缺少有效Action参照</x:v>
      </x:c>
      <x:c r="G341" s="4" t="str"/>
      <x:c r="H341" s="4" t="str"/>
      <x:c r="I341" s="4" t="str">
        <x:v>none</x:v>
      </x:c>
      <x:c r="J341" s="4" t="str">
        <x:v>销售钩件而非帘布；带环浴帘不证明轨道滑钩规格</x:v>
      </x:c>
      <x:c r="K341" s="4" t="str">
        <x:v>轨道及帘孔兼容未核实</x:v>
      </x:c>
      <x:c r="L341" s="4" t="str">
        <x:v>https://www.amazon.es/Muwirru-Suficiente-Funcionamiento-Instalaci%C3%B3n-Separadores/dp/B0HH3K6R42?psc=1</x:v>
      </x:c>
      <x:c r="M341" s="4" t="str">
        <x:v>B0_84bacc4c6b66_013908</x:v>
      </x:c>
      <x:c r="N341" s="4" t="str">
        <x:v>90534a01c94051536fc5b35cea246cb271ce4056e5fdc039fa7b0813f628a391</x:v>
      </x:c>
      <x:c r="O341" s="8"/>
      <x:c r="P341" s="8"/>
      <x:c r="Q341" s="8"/>
      <x:c r="R341" s="8"/>
    </x:row>
    <x:row r="342" ht="90" customHeight="1">
      <x:c r="A342" s="4" t="str">
        <x:v>P338</x:v>
      </x:c>
      <x:c r="B342" s="4" t="str">
        <x:v>Molde de silicona 3D de flores, 6 tipos | Hecho de silicona, resistente y duradero, fácil de limpiar, para jabón, velas, tartas, chocolate, color rosa</x:v>
      </x:c>
      <x:c r="C342" s="4" t="str">
        <x:v>花形硅胶手工及食品模具</x:v>
      </x:c>
      <x:c r="D342" s="4" t="str">
        <x:v>制作花形铸模作品</x:v>
      </x:c>
      <x:c r="E342" s="4" t="str">
        <x:v>保留</x:v>
      </x:c>
      <x:c r="F342" s="4" t="str"/>
      <x:c r="G342" s="4" t="str">
        <x:v>3218669</x:v>
      </x:c>
      <x:c r="H342" s="4" t="str">
        <x:v>Molde de silicona</x:v>
      </x:c>
      <x:c r="I342" s="4" t="str">
        <x:v>related_type</x:v>
      </x:c>
      <x:c r="J342" s="4" t="str">
        <x:v>参照硅胶模具是相关具体类型，不由源多用途声称推定所有参照均适合蜡烛或食品</x:v>
      </x:c>
      <x:c r="K342" s="4" t="str">
        <x:v>耐温和食品、肥皂材料兼容未核实</x:v>
      </x:c>
      <x:c r="L342" s="4" t="str">
        <x:v>https://www.amazon.es/silicona-resistente-duradero-limpiar-chocolate/dp/B0H5PNMXCZ?psc=1</x:v>
      </x:c>
      <x:c r="M342" s="4" t="str">
        <x:v>B0_84bacc4c6b66_024844</x:v>
      </x:c>
      <x:c r="N342" s="4" t="str">
        <x:v>ff90c4e74c54dffb5b6c03b2cf9e6588b2c74476db91e58758efd7ba42b88e19</x:v>
      </x:c>
      <x:c r="O342" s="8"/>
      <x:c r="P342" s="8"/>
      <x:c r="Q342" s="8"/>
      <x:c r="R342" s="8"/>
    </x:row>
    <x:row r="343" ht="90" customHeight="1">
      <x:c r="A343" s="4" t="str">
        <x:v>P339</x:v>
      </x:c>
      <x:c r="B343" s="4" t="str">
        <x:v>DEPAR Juego de pinzas con pinzas (150 juegos), broches de presión de metal de cobre, bronce, con herramientas de fijación, para cuero, manualidades, chaqueta, cartera, monedero</x:v>
      </x:c>
      <x:c r="C343" s="4" t="str">
        <x:v>金属按扣及安装工具套装</x:v>
      </x:c>
      <x:c r="D343" s="4" t="str">
        <x:v>安装皮具或衣物按扣</x:v>
      </x:c>
      <x:c r="E343" s="4" t="str">
        <x:v>观察</x:v>
      </x:c>
      <x:c r="F343" s="4" t="str">
        <x:v>缺少有效Action参照</x:v>
      </x:c>
      <x:c r="G343" s="4" t="str"/>
      <x:c r="H343" s="4" t="str"/>
      <x:c r="I343" s="4" t="str">
        <x:v>none</x:v>
      </x:c>
      <x:c r="J343" s="4" t="str">
        <x:v>扣件和配套安装工具共同销售，精密镊子及通用工具箱不能证明同类套装</x:v>
      </x:c>
      <x:c r="K343" s="4" t="str">
        <x:v>铜材表述、扣径与工具适配未核实</x:v>
      </x:c>
      <x:c r="L343" s="4" t="str">
        <x:v>https://www.amazon.es/DEPAR-herramientas-fijaci%C3%B3n-manualidades-chaqueta/dp/B0HCBSFJM4?psc=1</x:v>
      </x:c>
      <x:c r="M343" s="4" t="str">
        <x:v>B0_84bacc4c6b66_005535</x:v>
      </x:c>
      <x:c r="N343" s="4" t="str">
        <x:v>88f1336e3d69ad9545328d93c56cc5703b79009bad986e0867cc0f4705eec122</x:v>
      </x:c>
      <x:c r="O343" s="8"/>
      <x:c r="P343" s="8"/>
      <x:c r="Q343" s="8"/>
      <x:c r="R343" s="8"/>
    </x:row>
    <x:row r="344" ht="90" customHeight="1">
      <x:c r="A344" s="4" t="str">
        <x:v>P340</x:v>
      </x:c>
      <x:c r="B344" s="4" t="str">
        <x:v>Spaas Bandeja de 20 velas de pilar sin perfume de 40/110 mm, 13 horas, color blanco</x:v>
      </x:c>
      <x:c r="C344" s="4" t="str">
        <x:v>无香柱状蜡烛</x:v>
      </x:c>
      <x:c r="D344" s="4" t="str">
        <x:v>照明或陈设</x:v>
      </x:c>
      <x:c r="E344" s="4" t="str">
        <x:v>保留</x:v>
      </x:c>
      <x:c r="F344" s="4" t="str"/>
      <x:c r="G344" s="4" t="str">
        <x:v>3218710</x:v>
      </x:c>
      <x:c r="H344" s="4" t="str">
        <x:v>Velas de pilar</x:v>
      </x:c>
      <x:c r="I344" s="4" t="str">
        <x:v>same_type</x:v>
      </x:c>
      <x:c r="J344" s="4" t="str">
        <x:v>Bandeja在此说明一盘20支蜡烛，销售主体是蜡烛而非托盘</x:v>
      </x:c>
      <x:c r="K344" s="4" t="str">
        <x:v>燃烧时长及无香声称未核实</x:v>
      </x:c>
      <x:c r="L344" s="4" t="str">
        <x:v>https://www.amazon.es/Spaas-Bandeja-Perfume-parafina-di%C3%A1metro/dp/B07QGKGSBS/ref=sr_1_3246?dib=eyJ2IjoiMSJ9.Ph7xU45dAk_RDTI_gwhu9-XPiEXuVN6y0pDrd5Csc4X_sVnrRnpc4zIN-WnlRHltE9UQvzA7_Bxu0vDeBkUZUxlw-G_cX6YjQIdj-SorZE-PS2YLW-kA0myrgPC27izBrM2jHNrtQMrIxRj1kMoEJNSWT4XlYaOBVw0xV0kc26KQ1UE3tfGBUuR_adjh9qqnuU6irV9cZ26flfIeS0Ry3IkH7m5bLgMjjE52-DPFDyzosirFGoTtqDH4RfEYqwaCM4iSdcIuzMBR5eIUuPaFhNP2QUfXxfHRrRmxK2BYQeQ._h8snjbhQ7ja-TF7Ej3fsAYUvY08p__TIuZ5c0kcuxE&amp;dib_tag=se&amp;qid=1792599643&amp;s=kitchen&amp;sr=1-3246&amp;srs=88626813031&amp;xpid=CeuYXw3Vdr0Bg</x:v>
      </x:c>
      <x:c r="M344" s="4" t="str">
        <x:v>B0_84bacc4c6b66_018970</x:v>
      </x:c>
      <x:c r="N344" s="4" t="str">
        <x:v>640c43ad51f1a8b0c911572e4cc79c302ab523b2cff12dfea4fa234376fc65b0</x:v>
      </x:c>
      <x:c r="O344" s="8"/>
      <x:c r="P344" s="8"/>
      <x:c r="Q344" s="8"/>
      <x:c r="R344" s="8"/>
    </x:row>
    <x:row r="345" ht="90" customHeight="1">
      <x:c r="A345" s="4" t="str">
        <x:v>P341</x:v>
      </x:c>
      <x:c r="B345" s="4" t="str">
        <x:v>MWOOT DIY 5D Diamante Pintura por Número Kit,Bricolaje Diamond Pasted Painting Rhinestone Bordado de Punto de Cruz Artes Manualidades Lienzo Pared Decoración (30x40cm),Estilo C</x:v>
      </x:c>
      <x:c r="C345" s="4" t="str">
        <x:v>数字图案钻石画套装</x:v>
      </x:c>
      <x:c r="D345" s="4" t="str">
        <x:v>手工贴钻制作装饰画</x:v>
      </x:c>
      <x:c r="E345" s="4" t="str">
        <x:v>保留</x:v>
      </x:c>
      <x:c r="F345" s="4" t="str"/>
      <x:c r="G345" s="4" t="str">
        <x:v>3220020</x:v>
      </x:c>
      <x:c r="H345" s="4" t="str">
        <x:v>Set de pintura con diamantes</x:v>
      </x:c>
      <x:c r="I345" s="4" t="str">
        <x:v>same_type</x:v>
      </x:c>
      <x:c r="J345" s="4" t="str">
        <x:v>参照钻石画套装同类，不把钻石或刺绣词误作珠宝或已成品画</x:v>
      </x:c>
      <x:c r="K345" s="4" t="str">
        <x:v>图案、配件和适龄未核实</x:v>
      </x:c>
      <x:c r="L345" s="4" t="str">
        <x:v>https://www.amazon.es/MWOOT-Halloween-Rhinestone-Manualidades-Decoraci%C3%B3n/dp/B07XD9HPZJ?psc=1</x:v>
      </x:c>
      <x:c r="M345" s="4" t="str">
        <x:v>B0_84bacc4c6b66_012926</x:v>
      </x:c>
      <x:c r="N345" s="4" t="str">
        <x:v>279923c6347bf661456f89265160d24e5b53582506f06247d703421950ef9426</x:v>
      </x:c>
      <x:c r="O345" s="8"/>
      <x:c r="P345" s="8"/>
      <x:c r="Q345" s="8"/>
      <x:c r="R345" s="8"/>
    </x:row>
    <x:row r="346" ht="90" customHeight="1">
      <x:c r="A346" s="4" t="str">
        <x:v>P342</x:v>
      </x:c>
      <x:c r="B346" s="4" t="str">
        <x:v>Ganchos Adhesivos para Pared, 2 Piezas Gancho Ventosa Acero Inoxidable | Toalleros de Baño sin Taladro, Colgador Ventosa Resistente Hasta 10 kg, Ganchos de Decoración Para Baño, Dormitorio y Cocina</x:v>
      </x:c>
      <x:c r="C346" s="4" t="str">
        <x:v>免打孔吸附墙面挂钩</x:v>
      </x:c>
      <x:c r="D346" s="4" t="str">
        <x:v>悬挂毛巾或日用品</x:v>
      </x:c>
      <x:c r="E346" s="4" t="str">
        <x:v>保留</x:v>
      </x:c>
      <x:c r="F346" s="4" t="str"/>
      <x:c r="G346" s="4" t="str">
        <x:v>3012448</x:v>
      </x:c>
      <x:c r="H346" s="4" t="str">
        <x:v>Gancho colgador</x:v>
      </x:c>
      <x:c r="I346" s="4" t="str">
        <x:v>related_type</x:v>
      </x:c>
      <x:c r="J346" s="4" t="str">
        <x:v>通用挂钩参照相关；吸盘与粘胶用词并列，不能补写唯一固定机制</x:v>
      </x:c>
      <x:c r="K346" s="4" t="str">
        <x:v>固定方式、墙面适配和10kg承重未核实</x:v>
      </x:c>
      <x:c r="L346" s="4" t="str">
        <x:v>https://www.amazon.es/Adhesivos-Inoxidable-Resistente-Decoraci%C3%B3n-Dormitorio/dp/B0HBBPTSG3?psc=1</x:v>
      </x:c>
      <x:c r="M346" s="4" t="str">
        <x:v>B0_84bacc4c6b66_000845</x:v>
      </x:c>
      <x:c r="N346" s="4" t="str">
        <x:v>4b86d1b311b0a818bbb4dd41eff763e12b4586daf0e0876f24b18f265219512e</x:v>
      </x:c>
      <x:c r="O346" s="8"/>
      <x:c r="P346" s="8"/>
      <x:c r="Q346" s="8"/>
      <x:c r="R346" s="8"/>
    </x:row>
    <x:row r="347" ht="90" customHeight="1">
      <x:c r="A347" s="4" t="str">
        <x:v>P343</x:v>
      </x:c>
      <x:c r="B347" s="4" t="str">
        <x:v>Tefal Explore Stone - Sartén 20 cm, Aluminio, Efecto Piedra | Sartén de 20 cm, Mango fijo, Revestimiento Antiadherente, Apto inducción, Thermo-Signal, Compatible con espátulas metálicas</x:v>
      </x:c>
      <x:c r="C347" s="4" t="str">
        <x:v>铝制平底煎锅</x:v>
      </x:c>
      <x:c r="D347" s="4" t="str">
        <x:v>煎炒食物</x:v>
      </x:c>
      <x:c r="E347" s="4" t="str">
        <x:v>保留</x:v>
      </x:c>
      <x:c r="F347" s="4" t="str"/>
      <x:c r="G347" s="4" t="str">
        <x:v>3216902</x:v>
      </x:c>
      <x:c r="H347" s="4" t="str">
        <x:v>Sartén</x:v>
      </x:c>
      <x:c r="I347" s="4" t="str">
        <x:v>same_type</x:v>
      </x:c>
      <x:c r="J347" s="4" t="str">
        <x:v>参照平底锅同类，石纹外观不等于石材锅体</x:v>
      </x:c>
      <x:c r="K347" s="4" t="str">
        <x:v>不粘、炉具和金属铲适配未核实</x:v>
      </x:c>
      <x:c r="L347" s="4" t="str">
        <x:v>https://www.amazon.es/Tefal-Explore-Stone-Revestimiento-Antiadherente/dp/B0FP2PB68Q?psc=1</x:v>
      </x:c>
      <x:c r="M347" s="4" t="str">
        <x:v>B0_84bacc4c6b66_019838</x:v>
      </x:c>
      <x:c r="N347" s="4" t="str">
        <x:v>6385497a3c9e07936e5093f31693db12dc56bfa8483ef55bd74721d013fd698e</x:v>
      </x:c>
      <x:c r="O347" s="8"/>
      <x:c r="P347" s="8"/>
      <x:c r="Q347" s="8"/>
      <x:c r="R347" s="8"/>
    </x:row>
    <x:row r="348" ht="90" customHeight="1">
      <x:c r="A348" s="4" t="str">
        <x:v>P344</x:v>
      </x:c>
      <x:c r="B348" s="4" t="str">
        <x:v>BRIAN &amp; DANY Cubo Cenizas con Tapa, 5L Cubo para Cenizas de Chimenea con Pala y Escoba</x:v>
      </x:c>
      <x:c r="C348" s="4" t="str">
        <x:v>带盖炉灰桶配铲刷</x:v>
      </x:c>
      <x:c r="D348" s="4" t="str">
        <x:v>收集炉灰并清扫</x:v>
      </x:c>
      <x:c r="E348" s="4" t="str">
        <x:v>观察</x:v>
      </x:c>
      <x:c r="F348" s="4" t="str">
        <x:v>缺少有效Action参照</x:v>
      </x:c>
      <x:c r="G348" s="4" t="str"/>
      <x:c r="H348" s="4" t="str"/>
      <x:c r="I348" s="4" t="str">
        <x:v>none</x:v>
      </x:c>
      <x:c r="J348" s="4" t="str">
        <x:v>炉灰清理组合需要耐温与铲刷配置证据，通用水桶不能证明同类安全用途</x:v>
      </x:c>
      <x:c r="K348" s="4" t="str">
        <x:v>灰烬温度、耐热和材质未核实</x:v>
      </x:c>
      <x:c r="L348" s="4" t="str">
        <x:v>https://www.amazon.es/BRIAN-DANY-Chimenea-Accesorios-Chimeneas/dp/B0CCKYKWJX?psc=1</x:v>
      </x:c>
      <x:c r="M348" s="4" t="str">
        <x:v>B0_84bacc4c6b66_002397</x:v>
      </x:c>
      <x:c r="N348" s="4" t="str">
        <x:v>afbb82bf50e3fa16c5336a7490a865e2bfb975643f7ed81a5db72c58ed850154</x:v>
      </x:c>
      <x:c r="O348" s="8"/>
      <x:c r="P348" s="8"/>
      <x:c r="Q348" s="8"/>
      <x:c r="R348" s="8"/>
    </x:row>
    <x:row r="349" ht="90" customHeight="1">
      <x:c r="A349" s="4" t="str">
        <x:v>P345</x:v>
      </x:c>
      <x:c r="B349" s="4" t="str">
        <x:v>60PCS Bolsas de Dulces de Regalo Coloridas, Bolsas Plastico de 6 Colores, para Fiestas de Cumpleaños Bodas/Navidad, obsequios ideales y pequeñas bolsas para envolver regalos</x:v>
      </x:c>
      <x:c r="C349" s="4" t="str">
        <x:v>彩色糖果礼品袋</x:v>
      </x:c>
      <x:c r="D349" s="4" t="str">
        <x:v>包装派对小礼物</x:v>
      </x:c>
      <x:c r="E349" s="4" t="str">
        <x:v>保留</x:v>
      </x:c>
      <x:c r="F349" s="4" t="str"/>
      <x:c r="G349" s="4" t="str">
        <x:v>3208197</x:v>
      </x:c>
      <x:c r="H349" s="4" t="str">
        <x:v>Bolsas de regalo</x:v>
      </x:c>
      <x:c r="I349" s="4" t="str">
        <x:v>same_type</x:v>
      </x:c>
      <x:c r="J349" s="4" t="str">
        <x:v>真实礼品袋参照覆盖包装主体</x:v>
      </x:c>
      <x:c r="K349" s="4" t="str">
        <x:v>食品直接接触和承重未核实</x:v>
      </x:c>
      <x:c r="L349" s="4" t="str">
        <x:v>https://www.amazon.es/Coloridas-Plastico-Cumplea%C3%B1os-obsequios-peque%C3%B1as/dp/B0H6PS3F6G?psc=1</x:v>
      </x:c>
      <x:c r="M349" s="4" t="str">
        <x:v>B0_84bacc4c6b66_004867</x:v>
      </x:c>
      <x:c r="N349" s="4" t="str">
        <x:v>2211236c94051fec1e4dbc2a5fa42e81566d2eb92c6b6a30752a895f7514e99a</x:v>
      </x:c>
      <x:c r="O349" s="8"/>
      <x:c r="P349" s="8"/>
      <x:c r="Q349" s="8"/>
      <x:c r="R349" s="8"/>
    </x:row>
    <x:row r="350" ht="90" customHeight="1">
      <x:c r="A350" s="4" t="str">
        <x:v>P346</x:v>
      </x:c>
      <x:c r="B350" s="4" t="str">
        <x:v>Ninja Foodi Batidora de Vaso y Sopera Eléctrica, 1000 W, Negro</x:v>
      </x:c>
      <x:c r="C350" s="4" t="str">
        <x:v>搅拌煮汤一体机</x:v>
      </x:c>
      <x:c r="D350" s="4" t="str">
        <x:v>搅拌食材并制作汤品</x:v>
      </x:c>
      <x:c r="E350" s="4" t="str">
        <x:v>观察</x:v>
      </x:c>
      <x:c r="F350" s="4" t="str">
        <x:v>经营边界未确认</x:v>
      </x:c>
      <x:c r="G350" s="4" t="str">
        <x:v>3225912</x:v>
      </x:c>
      <x:c r="H350" s="4" t="str">
        <x:v>Batidora eléctrica MasterChef</x:v>
      </x:c>
      <x:c r="I350" s="4" t="str">
        <x:v>related_type</x:v>
      </x:c>
      <x:c r="J350" s="4" t="str">
        <x:v>参照电动搅拌机只支持搅拌功能，煮汤是源差异；杯子不是主体</x:v>
      </x:c>
      <x:c r="K350" s="4" t="str">
        <x:v>加热、容量和清洁方式未核实</x:v>
      </x:c>
      <x:c r="L350" s="4" t="str">
        <x:v>https://www.amazon.es/Ninja-HB150EU-Licuadora-Batidora-Vidrio/dp/B0815BLCJL/ref=sr_1_485?dib=eyJ2IjoiMSJ9.d7YByzhxI8kpQCkTg5NzbHluzyEVXcJkkod3sy3nPOhMc_h3MOWI1WsQIokp08QPMQyM_ls4qB8lAONPTmT5M-o_9-ml7OEuugCDCctQNQHrkl28NaQKRalDJSRZ3ofLfVGgoaZFqPjwzr4_jJ8Jjp3SpXV2ofgU6L45eNv0cpNg9NaiZ5C9CcE1I5CntLpSf1E6dFx5Aj_f124kliv3MtbCpv0xX-_oJ00GSWzBa9C_n5ImBSpPn5iukqDQ53lG1kfX4o9Ug1xYdHtOPwib_ZuV37S9clylUH_NzRoaUdE.y76Y0nkBhzDDueD-XQxE32UPtNsY1jsa7D6v2HcKS7c&amp;dib_tag=se&amp;qid=1792649286&amp;s=kitchen&amp;sr=1-485&amp;srs=88626813031&amp;xpid=qpnO31ULD-dQ4</x:v>
      </x:c>
      <x:c r="M350" s="4" t="str">
        <x:v>B0_84bacc4c6b66_014279</x:v>
      </x:c>
      <x:c r="N350" s="4" t="str">
        <x:v>11acbda1204903c6279bc4d8b36c55175c420c2b445d2710bfee72c5dfa48993</x:v>
      </x:c>
      <x:c r="O350" s="8"/>
      <x:c r="P350" s="8"/>
      <x:c r="Q350" s="8"/>
      <x:c r="R350" s="8"/>
    </x:row>
    <x:row r="351" ht="90" customHeight="1">
      <x:c r="A351" s="4" t="str">
        <x:v>P347</x:v>
      </x:c>
      <x:c r="B351" s="4" t="str">
        <x:v>Zenacolor Rotuladores Acrilicos Doble Punta (Fina y Pincel) – 24 Colores Permanentes para Lettering, Marcadores Acrílicos para Pintar en Varias Superficies</x:v>
      </x:c>
      <x:c r="C351" s="4" t="str">
        <x:v>双头丙烯马克笔</x:v>
      </x:c>
      <x:c r="D351" s="4" t="str">
        <x:v>书写装饰或绘画</x:v>
      </x:c>
      <x:c r="E351" s="4" t="str">
        <x:v>保留</x:v>
      </x:c>
      <x:c r="F351" s="4" t="str"/>
      <x:c r="G351" s="4" t="str">
        <x:v>3209195</x:v>
      </x:c>
      <x:c r="H351" s="4" t="str">
        <x:v>Rotuladores acrílicos</x:v>
      </x:c>
      <x:c r="I351" s="4" t="str">
        <x:v>same_type</x:v>
      </x:c>
      <x:c r="J351" s="4" t="str">
        <x:v>参照丙烯马克笔同类，细头和刷头形态由源明确提供</x:v>
      </x:c>
      <x:c r="K351" s="4" t="str">
        <x:v>永久性与基材兼容未核实</x:v>
      </x:c>
      <x:c r="L351" s="4" t="str">
        <x:v>https://www.amazon.es/Zenacolor-Rotuladores-Acrilicos-Doble-Pincel/dp/B0CCPJJR7W?psc=1</x:v>
      </x:c>
      <x:c r="M351" s="4" t="str">
        <x:v>B0_84bacc4c6b66_022957</x:v>
      </x:c>
      <x:c r="N351" s="4" t="str">
        <x:v>3c3defc4b3930e43fa5fc81093a5b2fe66bddfd97c97577fb7bbc2f698a4866c</x:v>
      </x:c>
      <x:c r="O351" s="8"/>
      <x:c r="P351" s="8"/>
      <x:c r="Q351" s="8"/>
      <x:c r="R351" s="8"/>
    </x:row>
    <x:row r="352" ht="90" customHeight="1">
      <x:c r="A352" s="4" t="str">
        <x:v>P348</x:v>
      </x:c>
      <x:c r="B352" s="4" t="str">
        <x:v>Dekorinex Alfombra Diatomita Baño, 45x70 cm Super Absorbente con Diatomita | Alfombras de Piedra Diatomitas, para Bañera, Ducha, Cuarto de Baño, Sala de estar, Secado Rápido, Antideslizante</x:v>
      </x:c>
      <x:c r="C352" s="4" t="str">
        <x:v>硅藻土浴室吸水垫</x:v>
      </x:c>
      <x:c r="D352" s="4" t="str">
        <x:v>承接浴后水分</x:v>
      </x:c>
      <x:c r="E352" s="4" t="str">
        <x:v>保留</x:v>
      </x:c>
      <x:c r="F352" s="4" t="str"/>
      <x:c r="G352" s="4" t="str">
        <x:v>3008471</x:v>
      </x:c>
      <x:c r="H352" s="4" t="str">
        <x:v>Alfombra de baño antideslizante</x:v>
      </x:c>
      <x:c r="I352" s="4" t="str">
        <x:v>related_type</x:v>
      </x:c>
      <x:c r="J352" s="4" t="str">
        <x:v>浴室垫参照支持具体脚部落水承接需求，不能把参照也说成硅藻土</x:v>
      </x:c>
      <x:c r="K352" s="4" t="str">
        <x:v>吸水、防滑和材质纯度未核实</x:v>
      </x:c>
      <x:c r="L352" s="4" t="str">
        <x:v>https://www.amazon.es/Dekorinex-Alfombra-Diatomita-45x70-Absorbente/dp/B0GDWFWP8G?psc=1</x:v>
      </x:c>
      <x:c r="M352" s="4" t="str">
        <x:v>B0_84bacc4c6b66_005965</x:v>
      </x:c>
      <x:c r="N352" s="4" t="str">
        <x:v>610a357f050e82c5ec455e087bc90e8cfa7c9b033771a8e44256c6ed2ac39b0d</x:v>
      </x:c>
      <x:c r="O352" s="8"/>
      <x:c r="P352" s="8"/>
      <x:c r="Q352" s="8"/>
      <x:c r="R352" s="8"/>
    </x:row>
    <x:row r="353" ht="90" customHeight="1">
      <x:c r="A353" s="4" t="str">
        <x:v>P349</x:v>
      </x:c>
      <x:c r="B353" s="4" t="str">
        <x:v>20Pcs Desechable Rejilla Desague Ducha Floor Drain Sticker, Atrapapelos Ducha de la Ducha para Evitar que los Desagües Obstruidos, para Accesorios de Baño, Esenciales para la Cocina, Fregadero, Bañera</x:v>
      </x:c>
      <x:c r="C353" s="4" t="str">
        <x:v>一次性排水口拦发网贴</x:v>
      </x:c>
      <x:c r="D353" s="4" t="str">
        <x:v>阻挡毛发进入排水管</x:v>
      </x:c>
      <x:c r="E353" s="4" t="str">
        <x:v>保留</x:v>
      </x:c>
      <x:c r="F353" s="4" t="str"/>
      <x:c r="G353" s="4" t="str">
        <x:v>3218325</x:v>
      </x:c>
      <x:c r="H353" s="4" t="str">
        <x:v>Colador de fregadero Löwenthal</x:v>
      </x:c>
      <x:c r="I353" s="4" t="str">
        <x:v>related_type</x:v>
      </x:c>
      <x:c r="J353" s="4" t="str">
        <x:v>水槽滤网支持入口拦截杂物需求，源是淋浴毛发贴，结构与尺寸差异保留</x:v>
      </x:c>
      <x:c r="K353" s="4" t="str">
        <x:v>粘贴、排水效率和适配未核实</x:v>
      </x:c>
      <x:c r="L353" s="4" t="str">
        <x:v>https://www.amazon.es/Desechable-Atrapapelos-Obstruidos-Accesorios-Esenciales/dp/B0D1KF9FY8?psc=1</x:v>
      </x:c>
      <x:c r="M353" s="4" t="str">
        <x:v>B0_84bacc4c6b66_006023</x:v>
      </x:c>
      <x:c r="N353" s="4" t="str">
        <x:v>cd2044b05b142e2302a3341989f90a11aefc8bc9d181154780f30e0ae1890893</x:v>
      </x:c>
      <x:c r="O353" s="8"/>
      <x:c r="P353" s="8"/>
      <x:c r="Q353" s="8"/>
      <x:c r="R353" s="8"/>
    </x:row>
    <x:row r="354" ht="90" customHeight="1">
      <x:c r="A354" s="4" t="str">
        <x:v>P350</x:v>
      </x:c>
      <x:c r="B354" s="4" t="str">
        <x:v>QiDAi - Juego de 2 hojas de derivación alargadas de acero inoxidable con 5 herramientas de apertura de pestillo de puerta de hoja de plástico nano</x:v>
      </x:c>
      <x:c r="C354" s="4" t="str">
        <x:v>门锁锁舌开启工具套装</x:v>
      </x:c>
      <x:c r="D354" s="4" t="str">
        <x:v>处理门锁锁舌开闭问题</x:v>
      </x:c>
      <x:c r="E354" s="4" t="str">
        <x:v>观察</x:v>
      </x:c>
      <x:c r="F354" s="4" t="str">
        <x:v>经营边界未确认</x:v>
      </x:c>
      <x:c r="G354" s="4" t="str"/>
      <x:c r="H354" s="4" t="str"/>
      <x:c r="I354" s="4" t="str">
        <x:v>none</x:v>
      </x:c>
      <x:c r="J354" s="4" t="str">
        <x:v>这是专用开锁工具而非通用家修工具，经营范围未确认，不凭金属材料或工具箱参照放行</x:v>
      </x:c>
      <x:c r="K354" s="4" t="str">
        <x:v>实际用途权限、规格和套装组成未核实</x:v>
      </x:c>
      <x:c r="L354" s="4" t="str">
        <x:v>https://www.amazon.es/QiDAi-derivaci%C3%B3n-alargadas-inoxidable-herramientas/dp/B0BY2GKP75?psc=1</x:v>
      </x:c>
      <x:c r="M354" s="4" t="str">
        <x:v>B0_84bacc4c6b66_016578</x:v>
      </x:c>
      <x:c r="N354" s="4" t="str">
        <x:v>91204b69cbd3eec519bbe6481e6a9bf47b99eadde22c0a203ec9ee0b62be5dc6</x:v>
      </x:c>
      <x:c r="O354" s="8"/>
      <x:c r="P354" s="8"/>
      <x:c r="Q354" s="8"/>
      <x:c r="R354" s="8"/>
    </x:row>
    <x:row r="355" ht="90" customHeight="1">
      <x:c r="A355" s="4" t="str">
        <x:v>P351</x:v>
      </x:c>
      <x:c r="B355" s="4" t="str">
        <x:v>Adaptador 29V 2A ZBHWX-A290020-A HXY-270V2220A KDDY008B</x:v>
      </x:c>
      <x:c r="C355" s="4" t="str">
        <x:v>电源适配器</x:v>
      </x:c>
      <x:c r="D355" s="4" t="str">
        <x:v>为兼容设备供电</x:v>
      </x:c>
      <x:c r="E355" s="4" t="str">
        <x:v>观察</x:v>
      </x:c>
      <x:c r="F355" s="4" t="str">
        <x:v>经营边界未确认</x:v>
      </x:c>
      <x:c r="G355" s="4" t="str"/>
      <x:c r="H355" s="4" t="str"/>
      <x:c r="I355" s="4" t="str">
        <x:v>none</x:v>
      </x:c>
      <x:c r="J355" s="4" t="str">
        <x:v>29V和2A指向电源适配器，型号未说明宿主及接口；插头转换器不能证明同类</x:v>
      </x:c>
      <x:c r="K355" s="4" t="str">
        <x:v>输入输出接口与适用设备未知</x:v>
      </x:c>
      <x:c r="L355" s="4" t="str">
        <x:v>https://www.amazon.es/ZBHWX-A290020-A-Adaptador-29V-2A/dp/B00C0Y0WHK?psc=1</x:v>
      </x:c>
      <x:c r="M355" s="4" t="str">
        <x:v>B0_84bacc4c6b66_022776</x:v>
      </x:c>
      <x:c r="N355" s="4" t="str">
        <x:v>f6f0ae278319e3a0d44fbd673ac24b0a02d3769ac77cf8de0b1fd873e2dd37fc</x:v>
      </x:c>
      <x:c r="O355" s="8"/>
      <x:c r="P355" s="8"/>
      <x:c r="Q355" s="8"/>
      <x:c r="R355" s="8"/>
    </x:row>
    <x:row r="356" ht="90" customHeight="1">
      <x:c r="A356" s="4" t="str">
        <x:v>P352</x:v>
      </x:c>
      <x:c r="B356" s="4" t="str">
        <x:v>25 Piezas Juntas de Goma, Juntas de Silicona Arandelas para Columpio Tapa Botella Home Brew Cerveza Sellos Sellos de Botella de Soda (Rojo)</x:v>
      </x:c>
      <x:c r="C356" s="4" t="str">
        <x:v>瓶盖密封垫圈</x:v>
      </x:c>
      <x:c r="D356" s="4" t="str">
        <x:v>密封翻盖瓶口</x:v>
      </x:c>
      <x:c r="E356" s="4" t="str">
        <x:v>观察</x:v>
      </x:c>
      <x:c r="F356" s="4" t="str">
        <x:v>专用或安装配件</x:v>
      </x:c>
      <x:c r="G356" s="4" t="str">
        <x:v>3008223</x:v>
      </x:c>
      <x:c r="H356" s="4" t="str">
        <x:v>Botella de vidrio</x:v>
      </x:c>
      <x:c r="I356" s="4" t="str">
        <x:v>host_only</x:v>
      </x:c>
      <x:c r="J356" s="4" t="str">
        <x:v>瓶盖密封圈是替换配件，玻璃瓶仅提供宿主参照</x:v>
      </x:c>
      <x:c r="K356" s="4" t="str">
        <x:v>胶与硅胶称谓并存，尺寸适配未知</x:v>
      </x:c>
      <x:c r="L356" s="4" t="str">
        <x:v>https://www.amazon.es/Silicona-Arandelas-Columpio-Superior-Botella/dp/B07TTNRCVF?psc=1</x:v>
      </x:c>
      <x:c r="M356" s="4" t="str">
        <x:v>B0_84bacc4c6b66_018614</x:v>
      </x:c>
      <x:c r="N356" s="4" t="str">
        <x:v>67358011775e78642f640db585595be3567b6ae5cca70a3a38f8d84881bc3d91</x:v>
      </x:c>
      <x:c r="O356" s="8"/>
      <x:c r="P356" s="8"/>
      <x:c r="Q356" s="8"/>
      <x:c r="R356" s="8"/>
    </x:row>
    <x:row r="357" ht="90" customHeight="1">
      <x:c r="A357" s="4" t="str">
        <x:v>P353</x:v>
      </x:c>
      <x:c r="B357" s="4" t="str">
        <x:v>Tixexo Pistola de Aire Caliente 2000W, Pistola de Calor Temperatura Variable de 50℃ a 650℃, 2 Velocidades de Aire Calentamiento Rápido, Protección Contra Sobrecarga, Pistola Calor con 7 Accesorios</x:v>
      </x:c>
      <x:c r="C357" s="4" t="str">
        <x:v>热风枪</x:v>
      </x:c>
      <x:c r="D357" s="4" t="str">
        <x:v>加热工件表面</x:v>
      </x:c>
      <x:c r="E357" s="4" t="str">
        <x:v>观察</x:v>
      </x:c>
      <x:c r="F357" s="4" t="str">
        <x:v>经营边界未确认</x:v>
      </x:c>
      <x:c r="G357" s="4" t="str">
        <x:v>2568757</x:v>
      </x:c>
      <x:c r="H357" s="4" t="str">
        <x:v>Pistola de aire caliente FERM</x:v>
      </x:c>
      <x:c r="I357" s="4" t="str">
        <x:v>same_type</x:v>
      </x:c>
      <x:c r="J357" s="4" t="str">
        <x:v>Action热风枪直接对应主体，电动工具经营边界待确认</x:v>
      </x:c>
      <x:c r="K357" s="4" t="str">
        <x:v>温度与过载性能未实测</x:v>
      </x:c>
      <x:c r="L357" s="4" t="str">
        <x:v>https://www.amazon.es/Tixexo-Temperatura-Velocidades-Calentamiento-Protecci%C3%B3n/dp/B0FHKGW51T?psc=1</x:v>
      </x:c>
      <x:c r="M357" s="4" t="str">
        <x:v>B0_84bacc4c6b66_020127</x:v>
      </x:c>
      <x:c r="N357" s="4" t="str">
        <x:v>533b6a7592743b34d68302a337bbe31471fea847b36314cc7456da8cb0d87c3a</x:v>
      </x:c>
      <x:c r="O357" s="8"/>
      <x:c r="P357" s="8"/>
      <x:c r="Q357" s="8"/>
      <x:c r="R357" s="8"/>
    </x:row>
    <x:row r="358" ht="90" customHeight="1">
      <x:c r="A358" s="4" t="str">
        <x:v>P354</x:v>
      </x:c>
      <x:c r="B358" s="4" t="str">
        <x:v>Focenat 2Pcs Sr. y La Sra. Tazas De Regalo,Mr y Mrs Set de Tazas de Café,400ml Taza de Cerámica con Patrón de Mármol,con Tapa y Cuchara,Caja de Regalo,para Aniversario de Boda,Parejas Casadas</x:v>
      </x:c>
      <x:c r="C358" s="4" t="str">
        <x:v>情侣咖啡杯礼盒</x:v>
      </x:c>
      <x:c r="D358" s="4" t="str">
        <x:v>盛装饮品并作礼物</x:v>
      </x:c>
      <x:c r="E358" s="4" t="str">
        <x:v>保留</x:v>
      </x:c>
      <x:c r="F358" s="4" t="str"/>
      <x:c r="G358" s="4" t="str">
        <x:v>3218208</x:v>
      </x:c>
      <x:c r="H358" s="4" t="str">
        <x:v>Tazas de café</x:v>
      </x:c>
      <x:c r="I358" s="4" t="str">
        <x:v>same_type</x:v>
      </x:c>
      <x:c r="J358" s="4" t="str">
        <x:v>Action咖啡杯对应核心杯具，盖勺是附随用品，图案未被推断为材质</x:v>
      </x:c>
      <x:c r="K358" s="4" t="str">
        <x:v>容量和材质依据标题，未实测</x:v>
      </x:c>
      <x:c r="L358" s="4" t="str">
        <x:v>https://www.amazon.es/Focenat-Cer%C3%A1mica-Cuchara-Aniversario-Parejas/dp/B0FP2RMCJD?psc=1</x:v>
      </x:c>
      <x:c r="M358" s="4" t="str">
        <x:v>B0_84bacc4c6b66_007909</x:v>
      </x:c>
      <x:c r="N358" s="4" t="str">
        <x:v>ceb0394a0a072ed462ad765a6a6fdf4ac209e772c9c0809879c490372d07d2a2</x:v>
      </x:c>
      <x:c r="O358" s="8"/>
      <x:c r="P358" s="8"/>
      <x:c r="Q358" s="8"/>
      <x:c r="R358" s="8"/>
    </x:row>
    <x:row r="359" ht="90" customHeight="1">
      <x:c r="A359" s="4" t="str">
        <x:v>P355</x:v>
      </x:c>
      <x:c r="B359" s="4" t="str">
        <x:v>YeahBoom 30 Pieza Alicates para Hielo y 4Pieza Pala Como Hielo,Azúcar de Acero Inoxidable Pala de Comida Alicates,Pinzas de Candy,Acero Inoxidable de Pinza,para Banquete de Boda Buffet</x:v>
      </x:c>
      <x:c r="C359" s="4" t="str">
        <x:v>冰夹与食物铲组合</x:v>
      </x:c>
      <x:c r="D359" s="4" t="str">
        <x:v>夹取冰块或糖果</x:v>
      </x:c>
      <x:c r="E359" s="4" t="str">
        <x:v>观察</x:v>
      </x:c>
      <x:c r="F359" s="4" t="str">
        <x:v>参照仅覆盖套装部分</x:v>
      </x:c>
      <x:c r="G359" s="4" t="str">
        <x:v>3214039</x:v>
      </x:c>
      <x:c r="H359" s="4" t="str">
        <x:v>Pinzas para servir Redstone</x:v>
      </x:c>
      <x:c r="I359" s="4" t="str">
        <x:v>related_type</x:v>
      </x:c>
      <x:c r="J359" s="4" t="str">
        <x:v>Action分餐夹只覆盖夹具部分，不覆盖另附食物铲；参照不足以支持完整销售主体</x:v>
      </x:c>
      <x:c r="K359" s="4" t="str">
        <x:v>标题翻译重复，具体尺寸不明</x:v>
      </x:c>
      <x:c r="L359" s="4" t="str">
        <x:v>https://www.amazon.es/Alicates-Az%C3%BAcar-Inoxidable-Comida-Banquete/dp/B0BWXK8T19?psc=1</x:v>
      </x:c>
      <x:c r="M359" s="4" t="str">
        <x:v>B0_84bacc4c6b66_001117</x:v>
      </x:c>
      <x:c r="N359" s="4" t="str">
        <x:v>2ba0260286a14dab1481bde02a760f7ca8b1140003da3211ab42d6e763375a32</x:v>
      </x:c>
      <x:c r="O359" s="8"/>
      <x:c r="P359" s="8"/>
      <x:c r="Q359" s="8"/>
      <x:c r="R359" s="8"/>
    </x:row>
    <x:row r="360" ht="90" customHeight="1">
      <x:c r="A360" s="4" t="str">
        <x:v>P356</x:v>
      </x:c>
      <x:c r="B360" s="4" t="str">
        <x:v>Flintronic 25PCS Bolsa de Regalo, Bolsa de Papel Ondulado, con Lindas Pegatinas, Bolsas de Fiesta para Fiestas Infantiles, Cumpleaños, Navidad（Lunares）</x:v>
      </x:c>
      <x:c r="C360" s="4" t="str">
        <x:v>派对礼品袋</x:v>
      </x:c>
      <x:c r="D360" s="4" t="str">
        <x:v>包装礼物或派对小物</x:v>
      </x:c>
      <x:c r="E360" s="4" t="str">
        <x:v>保留</x:v>
      </x:c>
      <x:c r="F360" s="4" t="str"/>
      <x:c r="G360" s="4" t="str">
        <x:v>3220844</x:v>
      </x:c>
      <x:c r="H360" s="4" t="str">
        <x:v>Bolsa de regalo</x:v>
      </x:c>
      <x:c r="I360" s="4" t="str">
        <x:v>same_type</x:v>
      </x:c>
      <x:c r="J360" s="4" t="str">
        <x:v>Action礼品袋对应销售主体，贴纸是随附装饰</x:v>
      </x:c>
      <x:c r="K360" s="4" t="str">
        <x:v>纸张承载未验证</x:v>
      </x:c>
      <x:c r="L360" s="4" t="str">
        <x:v>https://www.amazon.es/Flintronic-Lunares-Pegatinas-Infantiles-Cumplea%C3%B1os/dp/B0C89D1ZCX?psc=1</x:v>
      </x:c>
      <x:c r="M360" s="4" t="str">
        <x:v>B0_84bacc4c6b66_007871</x:v>
      </x:c>
      <x:c r="N360" s="4" t="str">
        <x:v>8b41e4499f642198537fcff5231d1e28c282f8885b0f0e2c31992f9cd06bd152</x:v>
      </x:c>
      <x:c r="O360" s="8"/>
      <x:c r="P360" s="8"/>
      <x:c r="Q360" s="8"/>
      <x:c r="R360" s="8"/>
    </x:row>
    <x:row r="361" ht="90" customHeight="1">
      <x:c r="A361" s="4" t="str">
        <x:v>P357</x:v>
      </x:c>
      <x:c r="B361" s="4" t="str">
        <x:v>Diyife Caja de Seguridad para Llaves Compacta, Impermeable, Negro | Pequeña, Fácil Instalación, Portátil, Grillete Extraíble, para Home, Office, Garage, School, Airbnb</x:v>
      </x:c>
      <x:c r="C361" s="4" t="str">
        <x:v>钥匙保管锁盒</x:v>
      </x:c>
      <x:c r="D361" s="4" t="str">
        <x:v>保管钥匙</x:v>
      </x:c>
      <x:c r="E361" s="4" t="str">
        <x:v>保留</x:v>
      </x:c>
      <x:c r="F361" s="4" t="str"/>
      <x:c r="G361" s="4" t="str">
        <x:v>3218842</x:v>
      </x:c>
      <x:c r="H361" s="4" t="str">
        <x:v>Mini caja fuerte</x:v>
      </x:c>
      <x:c r="I361" s="4" t="str">
        <x:v>related_type</x:v>
      </x:c>
      <x:c r="J361" s="4" t="str">
        <x:v>Action小保险箱提供加锁保管小物的相关类型参照，不推定相同锁结构</x:v>
      </x:c>
      <x:c r="K361" s="4" t="str">
        <x:v>防水和防盗效果未验证</x:v>
      </x:c>
      <x:c r="L361" s="4" t="str">
        <x:v>https://www.amazon.es/Diyife-Seguridad-Instalaci%C3%B3n-Impermeable-Extra%C3%ADble/dp/B09CL1VDT6?psc=1</x:v>
      </x:c>
      <x:c r="M361" s="4" t="str">
        <x:v>B0_84bacc4c6b66_006324</x:v>
      </x:c>
      <x:c r="N361" s="4" t="str">
        <x:v>27fe6955a87d5732845cb4a883b5d6a70b16a26b547220426b5ae8206887efcd</x:v>
      </x:c>
      <x:c r="O361" s="8"/>
      <x:c r="P361" s="8"/>
      <x:c r="Q361" s="8"/>
      <x:c r="R361" s="8"/>
    </x:row>
    <x:row r="362" ht="90" customHeight="1">
      <x:c r="A362" s="4" t="str">
        <x:v>P358</x:v>
      </x:c>
      <x:c r="B362" s="4" t="str">
        <x:v>Morpilot Espumador de Leche Eléctrico, Calentador Leche Espumador 4 en 1, Espuma Caliente y Fría, 240ml 400W</x:v>
      </x:c>
      <x:c r="C362" s="4" t="str">
        <x:v>电动奶泡器</x:v>
      </x:c>
      <x:c r="D362" s="4" t="str">
        <x:v>打发或加热奶饮</x:v>
      </x:c>
      <x:c r="E362" s="4" t="str">
        <x:v>观察</x:v>
      </x:c>
      <x:c r="F362" s="4" t="str">
        <x:v>经营边界未确认</x:v>
      </x:c>
      <x:c r="G362" s="4" t="str">
        <x:v>3011934</x:v>
      </x:c>
      <x:c r="H362" s="4" t="str">
        <x:v>Espumador de leche Tomado Superior</x:v>
      </x:c>
      <x:c r="I362" s="4" t="str">
        <x:v>same_type</x:v>
      </x:c>
      <x:c r="J362" s="4" t="str">
        <x:v>Action奶泡器与主体一致，小家电边界待确认</x:v>
      </x:c>
      <x:c r="K362" s="4" t="str">
        <x:v>实际温控表现未知</x:v>
      </x:c>
      <x:c r="L362" s="4" t="str">
        <x:v>https://www.amazon.es/Morpilot-Espumador-El%C3%A9ctrico-Calentador-Caliente/dp/B0FBGQVB6L/ref=sr_1_206?dib=eyJ2IjoiMSJ9.pD400Cs_yfEVLb7kG_Suxvnjd1IBmtngjkJ_rltW7fBJJ5KL8RaMybkc9vyq-jR779MCcfjhghqq92yYtlphhggVRqfnAuZqr36x_lZdYJEr2mPIV_MFTDeHZwJHL3h-By018a6-pe3tsCR8uj5vpRsSRL9bePLZfvzVdO4pTJBgbXTM9Gn-3Z21vJAEMTlY5AHb-ExfvXuQBuQdHwKdxA9b4sfoiubYvNYmKlhiSNmU0uPr3uGeC41TX3toS6FxJm1S1B6r54WQhm9l6r4VaZWPsR3wtu5d_YzFKCyItVU.P25eDTJI0JbDaNkbRB5jUAZRzwOmzW7skDRb70qOuhI&amp;dib_tag=se&amp;qid=1792596418&amp;s=kitchen&amp;sr=1-206&amp;srs=88626813031&amp;xpid=CeuYXw3Vdr0Bg</x:v>
      </x:c>
      <x:c r="M362" s="4" t="str">
        <x:v>B0_84bacc4c6b66_013717</x:v>
      </x:c>
      <x:c r="N362" s="4" t="str">
        <x:v>99fa914199fe0fdc34bee0f3b5ca607a9918935761df588db80fc5eb22bb0034</x:v>
      </x:c>
      <x:c r="O362" s="8"/>
      <x:c r="P362" s="8"/>
      <x:c r="Q362" s="8"/>
      <x:c r="R362" s="8"/>
    </x:row>
    <x:row r="363" ht="90" customHeight="1">
      <x:c r="A363" s="4" t="str">
        <x:v>P359</x:v>
      </x:c>
      <x:c r="B363" s="4" t="str">
        <x:v>BOAO Decoración de Halloween de Muselina Algodón, 5 x 2,15 m, Blanco</x:v>
      </x:c>
      <x:c r="C363" s="4" t="str">
        <x:v>万圣节装饰纱布</x:v>
      </x:c>
      <x:c r="D363" s="4" t="str">
        <x:v>布置节日场景</x:v>
      </x:c>
      <x:c r="E363" s="4" t="str">
        <x:v>观察</x:v>
      </x:c>
      <x:c r="F363" s="4" t="str">
        <x:v>缺少有效Action参照</x:v>
      </x:c>
      <x:c r="G363" s="4" t="str"/>
      <x:c r="H363" s="4" t="str"/>
      <x:c r="I363" s="4" t="str">
        <x:v>none</x:v>
      </x:c>
      <x:c r="J363" s="4" t="str">
        <x:v>主体是大幅装饰织物，灯光装饰不是同类材料参照</x:v>
      </x:c>
      <x:c r="K363" s="4" t="str">
        <x:v>布置方式及阻燃性未说明</x:v>
      </x:c>
      <x:c r="L363" s="4" t="str">
        <x:v>https://www.amazon.es/Decoraci%C3%B3n-Espeluznante-Interiores-Exteriores-espeluznantes/dp/B08C55X8ZN/ref=sr_1_925?dib=eyJ2IjoiMSJ9.IoBUzh0E-ZSD7zHRrm1xv9qT4K1Yk7PghCuOIenTu31LFyx2xiizOou2hFhvWZ3VpS-FZQw59ynKeOVIi6POSGsXOOnAMSKxnLh0pJNf5pHcqjAqn04MZpzsMum909SpFEemXu9726_0_OalKIWH2daedpUX_U1YIHvC8clUEXeAP2DQwpxS1UPVt5R-gTNB9KdzyI39RgtqJKJbs4a4phbxNeWseuj9x-3vk6dTEDI4Zlf9GqL9Kz-pmPbi5UE5doDC6Qw9hFaTHuKTVuL3IuCNz5OoRKmuglgc1c2TTEE.SS9X2PwtU_o5mSpEbNgP7KhIveC-ifm7bXlSgpnTa0I&amp;dib_tag=se&amp;qid=1792597383&amp;s=kitchen&amp;sr=1-925&amp;srs=88626813031&amp;xpid=CeuYXw3Vdr0Bg</x:v>
      </x:c>
      <x:c r="M363" s="4" t="str">
        <x:v>B0_84bacc4c6b66_005873</x:v>
      </x:c>
      <x:c r="N363" s="4" t="str">
        <x:v>f3d4845b6f841771766f2e493ed3c13a3f47e9f9081f5e4a9343f1160e4ef968</x:v>
      </x:c>
      <x:c r="O363" s="8"/>
      <x:c r="P363" s="8"/>
      <x:c r="Q363" s="8"/>
      <x:c r="R363" s="8"/>
    </x:row>
    <x:row r="364" ht="90" customHeight="1">
      <x:c r="A364" s="4" t="str">
        <x:v>P360</x:v>
      </x:c>
      <x:c r="B364" s="4" t="str">
        <x:v>Manguito Inodoro Compacto Dual Excéntrico Recortable Ø90/110 FLUVIA | Distancia Pared 210+180 mm, Junta TPE Estanca, Conexión WC Compacta, Excéntrico Recortable</x:v>
      </x:c>
      <x:c r="C364" s="4" t="str">
        <x:v>坐便器连接套管</x:v>
      </x:c>
      <x:c r="D364" s="4" t="str">
        <x:v>连接坐便器排污接口</x:v>
      </x:c>
      <x:c r="E364" s="4" t="str">
        <x:v>观察</x:v>
      </x:c>
      <x:c r="F364" s="4" t="str">
        <x:v>专用或安装配件</x:v>
      </x:c>
      <x:c r="G364" s="4" t="str"/>
      <x:c r="H364" s="4" t="str"/>
      <x:c r="I364" s="4" t="str">
        <x:v>none</x:v>
      </x:c>
      <x:c r="J364" s="4" t="str">
        <x:v>这是马桶排污连接构件，不是坐便器整机</x:v>
      </x:c>
      <x:c r="K364" s="4" t="str">
        <x:v>接口与墙距适配需核对</x:v>
      </x:c>
      <x:c r="L364" s="4" t="str">
        <x:v>https://www.amazon.es/Manguito-Exc%C3%A9ntrico-%C3%9890-110-FLUVIA/dp/B0HHJG6TVR?psc=1</x:v>
      </x:c>
      <x:c r="M364" s="4" t="str">
        <x:v>B0_84bacc4c6b66_013063</x:v>
      </x:c>
      <x:c r="N364" s="4" t="str">
        <x:v>7f37700f35b8477e61d68748c16226c734a8c2633310093ce7ecdccc86f93964</x:v>
      </x:c>
      <x:c r="O364" s="8"/>
      <x:c r="P364" s="8"/>
      <x:c r="Q364" s="8"/>
      <x:c r="R364" s="8"/>
    </x:row>
    <x:row r="365" ht="90" customHeight="1">
      <x:c r="A365" s="4" t="str">
        <x:v>P361</x:v>
      </x:c>
      <x:c r="B365" s="4" t="str">
        <x:v>DMC CORPORATION DMC Hilo Metálico Oro Oscuro, Talla Única, 381-G3852</x:v>
      </x:c>
      <x:c r="C365" s="4" t="str">
        <x:v>金属色线材</x:v>
      </x:c>
      <x:c r="D365" s="4" t="str">
        <x:v>编织或装饰手工</x:v>
      </x:c>
      <x:c r="E365" s="4" t="str">
        <x:v>保留</x:v>
      </x:c>
      <x:c r="F365" s="4" t="str"/>
      <x:c r="G365" s="4" t="str">
        <x:v>3224778</x:v>
      </x:c>
      <x:c r="H365" s="4" t="str">
        <x:v>Hilo metálico Alison &amp; Mae</x:v>
      </x:c>
      <x:c r="I365" s="4" t="str">
        <x:v>same_type</x:v>
      </x:c>
      <x:c r="J365" s="4" t="str">
        <x:v>Action金属线材名称直接对应，不把金属色推断为纯金属成分</x:v>
      </x:c>
      <x:c r="K365" s="4" t="str">
        <x:v>线材成分和粗细未知</x:v>
      </x:c>
      <x:c r="L365" s="4" t="str">
        <x:v>https://www.amazon.es/DMC-CORPORATION-MET%C3%81LICO-OSCURO-talla/dp/B081ZG4SFX?psc=1</x:v>
      </x:c>
      <x:c r="M365" s="4" t="str">
        <x:v>B0_84bacc4c6b66_005615</x:v>
      </x:c>
      <x:c r="N365" s="4" t="str">
        <x:v>992d43f601b89c77f617e5a30c80b2b33fde1931ad7af406236d94c159eb24a5</x:v>
      </x:c>
      <x:c r="O365" s="8"/>
      <x:c r="P365" s="8"/>
      <x:c r="Q365" s="8"/>
      <x:c r="R365" s="8"/>
    </x:row>
    <x:row r="366" ht="90" customHeight="1">
      <x:c r="A366" s="4" t="str">
        <x:v>P362</x:v>
      </x:c>
      <x:c r="B366" s="4" t="str">
        <x:v>Cuchara Para Hacer Albóndigas Acero Inoxidable, Diseño De Agujeros Con Superficie Antiadherente | Herramienta Manual Para Hacer Albóndigas | Herramienta De Prensa De Cocina Para Hacer Albóndigas</x:v>
      </x:c>
      <x:c r="C366" s="4" t="str">
        <x:v>肉丸成型勺</x:v>
      </x:c>
      <x:c r="D366" s="4" t="str">
        <x:v>手工分份成型肉丸</x:v>
      </x:c>
      <x:c r="E366" s="4" t="str">
        <x:v>观察</x:v>
      </x:c>
      <x:c r="F366" s="4" t="str">
        <x:v>缺少有效Action参照</x:v>
      </x:c>
      <x:c r="G366" s="4" t="str"/>
      <x:c r="H366" s="4" t="str"/>
      <x:c r="I366" s="4" t="str">
        <x:v>none</x:v>
      </x:c>
      <x:c r="J366" s="4" t="str">
        <x:v>主体是厨房成型工具，普通勺或不锈钢饰品不足以证明同用途</x:v>
      </x:c>
      <x:c r="K366" s="4" t="str">
        <x:v>成型尺寸和结构未完全说明</x:v>
      </x:c>
      <x:c r="L366" s="4" t="str">
        <x:v>https://www.amazon.es/Para-Hacer-Alb%C3%B3ndigas-Antiadherente-Herramienta/dp/B0HK4J8K9C?psc=1</x:v>
      </x:c>
      <x:c r="M366" s="4" t="str">
        <x:v>B0_84bacc4c6b66_015385</x:v>
      </x:c>
      <x:c r="N366" s="4" t="str">
        <x:v>d18979793c890ca248c26a270951e967ab4ec8815f67c373fb188990c3d7deb7</x:v>
      </x:c>
      <x:c r="O366" s="8"/>
      <x:c r="P366" s="8"/>
      <x:c r="Q366" s="8"/>
      <x:c r="R366" s="8"/>
    </x:row>
    <x:row r="367" ht="90" customHeight="1">
      <x:c r="A367" s="4" t="str">
        <x:v>P363</x:v>
      </x:c>
      <x:c r="B367" s="4" t="str">
        <x:v>Bellabon Pegatinas Decorativas de Ventana de Halloween,Miedo Pegatinas de Pared,4 Hojas 81PCS Decoración de Halloween Reutilizable de Doble Cara</x:v>
      </x:c>
      <x:c r="C367" s="4" t="str">
        <x:v>万圣节窗贴</x:v>
      </x:c>
      <x:c r="D367" s="4" t="str">
        <x:v>装饰窗面</x:v>
      </x:c>
      <x:c r="E367" s="4" t="str">
        <x:v>保留</x:v>
      </x:c>
      <x:c r="F367" s="4" t="str"/>
      <x:c r="G367" s="4" t="str">
        <x:v>3006466</x:v>
      </x:c>
      <x:c r="H367" s="4" t="str">
        <x:v>Pegatinas para ventanas de Halloween</x:v>
      </x:c>
      <x:c r="I367" s="4" t="str">
        <x:v>same_type</x:v>
      </x:c>
      <x:c r="J367" s="4" t="str">
        <x:v>Action同有万圣节窗贴</x:v>
      </x:c>
      <x:c r="K367" s="4" t="str">
        <x:v>可重复使用表现未验证</x:v>
      </x:c>
      <x:c r="L367" s="4" t="str">
        <x:v>https://www.amazon.es/Bellabon-Pegatinas-Decorativas-Decoraci%C3%B3n-Reutilizable/dp/B0H98BFK2X?psc=1</x:v>
      </x:c>
      <x:c r="M367" s="4" t="str">
        <x:v>B0_84bacc4c6b66_002686</x:v>
      </x:c>
      <x:c r="N367" s="4" t="str">
        <x:v>006a9def59e224738ea1df0bb616a2821fe4d4748780639fa23a84655d32dcc2</x:v>
      </x:c>
      <x:c r="O367" s="8"/>
      <x:c r="P367" s="8"/>
      <x:c r="Q367" s="8"/>
      <x:c r="R367" s="8"/>
    </x:row>
    <x:row r="368" ht="90" customHeight="1">
      <x:c r="A368" s="4" t="str">
        <x:v>P364</x:v>
      </x:c>
      <x:c r="B368" s="4" t="str">
        <x:v>Greensen Libro de Visitas de Boda de Lienzo de Huellas Dactilares con 6 Colores Tinta Lienzo Personalizado para Huellas Digitales Cumpleaños Cumpleaños 30 X 40 Cm bebé (HK197)</x:v>
      </x:c>
      <x:c r="C368" s="4" t="str">
        <x:v>指纹签到画布套装</x:v>
      </x:c>
      <x:c r="D368" s="4" t="str">
        <x:v>收集婚礼宾客指纹留念</x:v>
      </x:c>
      <x:c r="E368" s="4" t="str">
        <x:v>观察</x:v>
      </x:c>
      <x:c r="F368" s="4" t="str">
        <x:v>缺少有效Action参照</x:v>
      </x:c>
      <x:c r="G368" s="4" t="str"/>
      <x:c r="H368" s="4" t="str"/>
      <x:c r="I368" s="4" t="str">
        <x:v>none</x:v>
      </x:c>
      <x:c r="J368" s="4" t="str">
        <x:v>销售主体是含颜料的指纹签到画布活动套件，不是普通涂色书</x:v>
      </x:c>
      <x:c r="K368" s="4" t="str">
        <x:v>颜料接触皮肤适用性未验证</x:v>
      </x:c>
      <x:c r="L368" s="4" t="str">
        <x:v>https://www.amazon.es/Greensen-Dactilares-Personalizado-Digitales-Cumplea%C3%B1os/dp/B0DY1Q33PZ?psc=1</x:v>
      </x:c>
      <x:c r="M368" s="4" t="str">
        <x:v>B0_84bacc4c6b66_008766</x:v>
      </x:c>
      <x:c r="N368" s="4" t="str">
        <x:v>ab804fbc63e74d850f06d19e14f4399d05f8d8e4184213bf6e79dbed2270efbd</x:v>
      </x:c>
      <x:c r="O368" s="8"/>
      <x:c r="P368" s="8"/>
      <x:c r="Q368" s="8"/>
      <x:c r="R368" s="8"/>
    </x:row>
    <x:row r="369" ht="90" customHeight="1">
      <x:c r="A369" s="4" t="str">
        <x:v>P365</x:v>
      </x:c>
      <x:c r="B369" s="4" t="str">
        <x:v>Fermax KIT PORTERO CITYMAX 1L AG 230V TEL. BL</x:v>
      </x:c>
      <x:c r="C369" s="4" t="str">
        <x:v>门禁对讲套装</x:v>
      </x:c>
      <x:c r="D369" s="4" t="str">
        <x:v>门口与室内语音联络</x:v>
      </x:c>
      <x:c r="E369" s="4" t="str">
        <x:v>观察</x:v>
      </x:c>
      <x:c r="F369" s="4" t="str">
        <x:v>经营边界未确认</x:v>
      </x:c>
      <x:c r="G369" s="4" t="str"/>
      <x:c r="H369" s="4" t="str"/>
      <x:c r="I369" s="4" t="str">
        <x:v>none</x:v>
      </x:c>
      <x:c r="J369" s="4" t="str">
        <x:v>PORTERO在此为楼宇对讲设备，不是足球门或手工工具</x:v>
      </x:c>
      <x:c r="K369" s="4" t="str">
        <x:v>缩写和完整配套不清，接线要求未知</x:v>
      </x:c>
      <x:c r="L369" s="4" t="str">
        <x:v>https://www.amazon.es/Fermax-6201-portero-autom%C3%A1tico-l%C3%ADnea/dp/B00SWPC9OU?psc=1</x:v>
      </x:c>
      <x:c r="M369" s="4" t="str">
        <x:v>B0_84bacc4c6b66_007724</x:v>
      </x:c>
      <x:c r="N369" s="4" t="str">
        <x:v>5f55126fb14c4260fd05ea01f5632a9dd29501908b2f172b460cd0de3313bcf7</x:v>
      </x:c>
      <x:c r="O369" s="8"/>
      <x:c r="P369" s="8"/>
      <x:c r="Q369" s="8"/>
      <x:c r="R369" s="8"/>
    </x:row>
    <x:row r="370" ht="90" customHeight="1">
      <x:c r="A370" s="4" t="str">
        <x:v>P366</x:v>
      </x:c>
      <x:c r="B370" s="4" t="str">
        <x:v>ComSaf Recipientes herméticos para alimentos 2,5 L, pack de 3</x:v>
      </x:c>
      <x:c r="C370" s="4" t="str">
        <x:v>密封食品容器</x:v>
      </x:c>
      <x:c r="D370" s="4" t="str">
        <x:v>存放食品</x:v>
      </x:c>
      <x:c r="E370" s="4" t="str">
        <x:v>保留</x:v>
      </x:c>
      <x:c r="F370" s="4" t="str"/>
      <x:c r="G370" s="4" t="str">
        <x:v>3002389</x:v>
      </x:c>
      <x:c r="H370" s="4" t="str">
        <x:v>Recipiente para alimentos Curver</x:v>
      </x:c>
      <x:c r="I370" s="4" t="str">
        <x:v>same_type</x:v>
      </x:c>
      <x:c r="J370" s="4" t="str">
        <x:v>Action食品容器对应主体</x:v>
      </x:c>
      <x:c r="K370" s="4" t="str">
        <x:v>气密表现未实测</x:v>
      </x:c>
      <x:c r="L370" s="4" t="str">
        <x:v>https://www.amazon.es/ComSaf-recipientes-almacenamiento-herm%C3%A9ticos-pl%C3%A1stico/dp/B0DYHQQRSN/ref=sr_1_1068?dib=eyJ2IjoiMSJ9.ddVIBoGX86t6B3KJB82H5qbLvqgHWhmSwP6YHtTZIm45rwId81afXqfHdCRfvWjMQS6-eIb4CJ2fOSAMu74nLModCEqoB42MybdIsqNOzgqLRuYSJhjG4Ud6Wi88XI1rNpxw0P3lyMBGlTc644_-BuEXR-Qrhvvm1ynHlvkPL308TXZSDhNTWfQyCbPQwRqUyjo1G8WKt5qLElMqRiBrEBrdV-AJJ0UxvAk7YPYDvYiBfEsAuP7aEhO6lkbVvr8hWQMURb_l6xxxDPg08OzxNk0Z3z9dO4kHnxDkC3TwnmU.1RCvmOFXedYInoo5OfPocQzbA0NE3VoJFBx2xBEm1ks&amp;dib_tag=se&amp;qid=1792597495&amp;s=kitchen&amp;sr=1-1068&amp;srs=88626813031&amp;xpid=CeuYXw3Vdr0Bg</x:v>
      </x:c>
      <x:c r="M370" s="4" t="str">
        <x:v>B0_84bacc4c6b66_004897</x:v>
      </x:c>
      <x:c r="N370" s="4" t="str">
        <x:v>e1547bf17e44f6847e5d9b84e0f95ad266ee098e6bca22eaaaf9b6c731e676c2</x:v>
      </x:c>
      <x:c r="O370" s="8"/>
      <x:c r="P370" s="8"/>
      <x:c r="Q370" s="8"/>
      <x:c r="R370" s="8"/>
    </x:row>
    <x:row r="371" ht="90" customHeight="1">
      <x:c r="A371" s="4" t="str">
        <x:v>P367</x:v>
      </x:c>
      <x:c r="B371" s="4" t="str">
        <x:v>DEPAR Estantería extensible de 2 niveles para microondas, soporte para microondas con 4 ganchos, flexible extensible de 36,5 – 60,5 cm, ideal para encimeras, estantes de panadería, organizador de</x:v>
      </x:c>
      <x:c r="C371" s="4" t="str">
        <x:v>微波炉台面置物架</x:v>
      </x:c>
      <x:c r="D371" s="4" t="str">
        <x:v>利用台面上方空间收纳</x:v>
      </x:c>
      <x:c r="E371" s="4" t="str">
        <x:v>观察</x:v>
      </x:c>
      <x:c r="F371" s="4" t="str">
        <x:v>缺少有效Action参照</x:v>
      </x:c>
      <x:c r="G371" s="4" t="str"/>
      <x:c r="H371" s="4" t="str"/>
      <x:c r="I371" s="4" t="str">
        <x:v>none</x:v>
      </x:c>
      <x:c r="J371" s="4" t="str">
        <x:v>标题销售小型台面支架而非微波炉，普通安装角码不是完整架体参照</x:v>
      </x:c>
      <x:c r="K371" s="4" t="str">
        <x:v>承重与电器散热间隙未知，标题截断</x:v>
      </x:c>
      <x:c r="L371" s="4" t="str">
        <x:v>https://www.amazon.es/DEPAR-Estanter%C3%ADa-extensible-microondas-flexible/dp/B0HBWSBLMM?psc=1</x:v>
      </x:c>
      <x:c r="M371" s="4" t="str">
        <x:v>B0_84bacc4c6b66_005523</x:v>
      </x:c>
      <x:c r="N371" s="4" t="str">
        <x:v>3bb21533bd18fbd57acd5944bcca63eb76318e28e6762985201a8b8a4856998c</x:v>
      </x:c>
      <x:c r="O371" s="8"/>
      <x:c r="P371" s="8"/>
      <x:c r="Q371" s="8"/>
      <x:c r="R371" s="8"/>
    </x:row>
    <x:row r="372" ht="90" customHeight="1">
      <x:c r="A372" s="4" t="str">
        <x:v>P368</x:v>
      </x:c>
      <x:c r="B372" s="4" t="str">
        <x:v>Juego de 8 Soportes para Barra de Ropa, Tubo Redondo de 32 mm | UNGFEI, Acero Inoxidable Cepillado en Plateado, Fijación de Pared con 24 Tornillos y Tacos, para Armario, Balcón y Vestidor</x:v>
      </x:c>
      <x:c r="C372" s="4" t="str">
        <x:v>衣杆固定托座</x:v>
      </x:c>
      <x:c r="D372" s="4" t="str">
        <x:v>固定悬挂衣杆</x:v>
      </x:c>
      <x:c r="E372" s="4" t="str">
        <x:v>观察</x:v>
      </x:c>
      <x:c r="F372" s="4" t="str">
        <x:v>缺少有效Action参照</x:v>
      </x:c>
      <x:c r="G372" s="4" t="str"/>
      <x:c r="H372" s="4" t="str"/>
      <x:c r="I372" s="4" t="str">
        <x:v>none</x:v>
      </x:c>
      <x:c r="J372" s="4" t="str">
        <x:v>普通杆件固定五金，不是衣柜整件；角码套装结构不明确不能硬配</x:v>
      </x:c>
      <x:c r="K372" s="4" t="str">
        <x:v>孔距与安装承载未知</x:v>
      </x:c>
      <x:c r="L372" s="4" t="str">
        <x:v>https://www.amazon.es/Soportes-UNGFEI-Inoxidable-Cepillado-Tornillos/dp/B0H2W181MB?psc=1</x:v>
      </x:c>
      <x:c r="M372" s="4" t="str">
        <x:v>B0_84bacc4c6b66_018961</x:v>
      </x:c>
      <x:c r="N372" s="4" t="str">
        <x:v>dfbdb1add034f55b291a16526dacbf36e74c609f336a3a52e1385ab08fbb4e3e</x:v>
      </x:c>
      <x:c r="O372" s="8"/>
      <x:c r="P372" s="8"/>
      <x:c r="Q372" s="8"/>
      <x:c r="R372" s="8"/>
    </x:row>
    <x:row r="373" ht="90" customHeight="1">
      <x:c r="A373" s="4" t="str">
        <x:v>P369</x:v>
      </x:c>
      <x:c r="B373" s="4" t="str">
        <x:v>Palas de madera sostenibles para prensar y dar forma a mantequilla y gnocchi – Juego de 2 – plástico libre para cocinar regalos</x:v>
      </x:c>
      <x:c r="C373" s="4" t="str">
        <x:v>黄油与面团整形木板工具</x:v>
      </x:c>
      <x:c r="D373" s="4" t="str">
        <x:v>手工压整黄油或意式面团</x:v>
      </x:c>
      <x:c r="E373" s="4" t="str">
        <x:v>观察</x:v>
      </x:c>
      <x:c r="F373" s="4" t="str">
        <x:v>缺少有效Action参照</x:v>
      </x:c>
      <x:c r="G373" s="4" t="str"/>
      <x:c r="H373" s="4" t="str"/>
      <x:c r="I373" s="4" t="str">
        <x:v>none</x:v>
      </x:c>
      <x:c r="J373" s="4" t="str">
        <x:v>标题明确厨房手动整形用途，不是园艺铲或儿童食物玩具</x:v>
      </x:c>
      <x:c r="K373" s="4" t="str">
        <x:v>具体纹路和形状未说明</x:v>
      </x:c>
      <x:c r="L373" s="4" t="str">
        <x:v>https://www.amazon.es/madera-sostenibles-prensar-mantequilla-gnocchi/dp/B01G5WXQRA/ref=sr_1_2659?dib=eyJ2IjoiMSJ9.2gE2pQuMEXIHz24ek3t7R4_OwOg6HoKd-PGAdl1blm8z7AtNnCe9mNmkhG3Qsu4XBKPPbSWy-zm4IGEq3r81JBbdJ7-EbflKSK78gD6mVifvpvxwxTFYeE5Jr-fAjs599cdPVQTl2JguqkOpkP5xQyX8lzBEIvcwsmQJn41DaLrYXd_6jn7HK1aghh5FW2R_Q6RRBR-6WG3DolAdUR-GyuhoBexJ411WUr-56MVRiGKGaHnJTjWRJWEpYkw_wRO_Gw_IeUS8lbQQYfwc9WrTfMnutFIR0p_TsdTD0PnE-KE.pAw8Ce5mJPgQWtRl5BbtyOTyXo5toFOIkz4UQ5zuHmc&amp;dib_tag=se&amp;qid=1792598968&amp;s=kitchen&amp;sr=1-2659&amp;srs=88626813031&amp;xpid=CeuYXw3Vdr0Bg</x:v>
      </x:c>
      <x:c r="M373" s="4" t="str">
        <x:v>B0_84bacc4c6b66_024302</x:v>
      </x:c>
      <x:c r="N373" s="4" t="str">
        <x:v>aa62b8b52ad08523321d2bbddf64cfa6d9b8927617fffa4e50428012d7145e9b</x:v>
      </x:c>
      <x:c r="O373" s="8"/>
      <x:c r="P373" s="8"/>
      <x:c r="Q373" s="8"/>
      <x:c r="R373" s="8"/>
    </x:row>
    <x:row r="374" ht="90" customHeight="1">
      <x:c r="A374" s="4" t="str">
        <x:v>P370</x:v>
      </x:c>
      <x:c r="B374" s="4" t="str">
        <x:v>24 libros para colorear Halloween para lote detalles de fiesta Halloween | relleno para bolsas de Dulce o Truco de Halloween,libro de pintura,manualidades de Halloween</x:v>
      </x:c>
      <x:c r="C374" s="4" t="str">
        <x:v>万圣节涂色本</x:v>
      </x:c>
      <x:c r="D374" s="4" t="str">
        <x:v>儿童涂色及派对赠品</x:v>
      </x:c>
      <x:c r="E374" s="4" t="str">
        <x:v>保留</x:v>
      </x:c>
      <x:c r="F374" s="4" t="str"/>
      <x:c r="G374" s="4" t="str">
        <x:v>3218841</x:v>
      </x:c>
      <x:c r="H374" s="4" t="str">
        <x:v>Libros para colorear</x:v>
      </x:c>
      <x:c r="I374" s="4" t="str">
        <x:v>same_type</x:v>
      </x:c>
      <x:c r="J374" s="4" t="str">
        <x:v>Action涂色本对应主体，不因节日包装改变类型</x:v>
      </x:c>
      <x:c r="K374" s="4" t="str">
        <x:v>适龄和页数未说明</x:v>
      </x:c>
      <x:c r="L374" s="4" t="str">
        <x:v>https://www.amazon.es/colorear-Halloween-detalles-relleno-manualidades/dp/B0H492MNCN?psc=1</x:v>
      </x:c>
      <x:c r="M374" s="4" t="str">
        <x:v>B0_84bacc4c6b66_023510</x:v>
      </x:c>
      <x:c r="N374" s="4" t="str">
        <x:v>099a6afb2cb0114cf8fc0f29587481e237ab9a3bc7b8ac77263af1a794940b86</x:v>
      </x:c>
      <x:c r="O374" s="8"/>
      <x:c r="P374" s="8"/>
      <x:c r="Q374" s="8"/>
      <x:c r="R374" s="8"/>
    </x:row>
    <x:row r="375" ht="90" customHeight="1">
      <x:c r="A375" s="4" t="str">
        <x:v>P371</x:v>
      </x:c>
      <x:c r="B375" s="4" t="str">
        <x:v>Sellador de Cristales de Coche, 50mlx2 Adhesivo para Carrocería de Coche | Silicona Negra para Coche Parabrisas, Sellador Luna Parabrisas Coche, Resistente a Altas y Bajas Temperaturas, Impermeable</x:v>
      </x:c>
      <x:c r="C375" s="4" t="str">
        <x:v>汽车玻璃密封胶</x:v>
      </x:c>
      <x:c r="D375" s="4" t="str">
        <x:v>密封车窗或车身接缝</x:v>
      </x:c>
      <x:c r="E375" s="4" t="str">
        <x:v>观察</x:v>
      </x:c>
      <x:c r="F375" s="4" t="str">
        <x:v>经营边界未确认</x:v>
      </x:c>
      <x:c r="G375" s="4" t="str">
        <x:v>3010675</x:v>
      </x:c>
      <x:c r="H375" s="4" t="str">
        <x:v>Sellador de silicona TCX Blanco</x:v>
      </x:c>
      <x:c r="I375" s="4" t="str">
        <x:v>related_type</x:v>
      </x:c>
      <x:c r="J375" s="4" t="str">
        <x:v>Action硅酮密封胶是相关材料，但汽车玻璃专用适用性及化学材料边界待核对</x:v>
      </x:c>
      <x:c r="K375" s="4" t="str">
        <x:v>耐温与安全应用未验证</x:v>
      </x:c>
      <x:c r="L375" s="4" t="str">
        <x:v>https://www.amazon.es/Carrocer%C3%ADa-Parabrisas-Resistente-Temperaturas-Impermeable/dp/B0H8396BVX?psc=1</x:v>
      </x:c>
      <x:c r="M375" s="4" t="str">
        <x:v>B0_84bacc4c6b66_004189</x:v>
      </x:c>
      <x:c r="N375" s="4" t="str">
        <x:v>14b839c621b3906b5de6f8ad3b256e2d8aa7d9b92fb7eba5712609a86aca7e97</x:v>
      </x:c>
      <x:c r="O375" s="8"/>
      <x:c r="P375" s="8"/>
      <x:c r="Q375" s="8"/>
      <x:c r="R375" s="8"/>
    </x:row>
    <x:row r="376" ht="90" customHeight="1">
      <x:c r="A376" s="4" t="str">
        <x:v>P372</x:v>
      </x:c>
      <x:c r="B376" s="4" t="str">
        <x:v>Juego de 3 rotuladores para retocar la tumba, color negro | Resistente al agua y a la intemperie. 3 bolígrafos negros con pincel y paño de limpieza para lápidas</x:v>
      </x:c>
      <x:c r="C376" s="4" t="str">
        <x:v>墓碑修描笔套装</x:v>
      </x:c>
      <x:c r="D376" s="4" t="str">
        <x:v>修描墓碑文字或表面痕迹</x:v>
      </x:c>
      <x:c r="E376" s="4" t="str">
        <x:v>保留</x:v>
      </x:c>
      <x:c r="F376" s="4" t="str"/>
      <x:c r="G376" s="4" t="str">
        <x:v>3215275</x:v>
      </x:c>
      <x:c r="H376" s="4" t="str">
        <x:v>Rotuladores de pintura</x:v>
      </x:c>
      <x:c r="I376" s="4" t="str">
        <x:v>related_type</x:v>
      </x:c>
      <x:c r="J376" s="4" t="str">
        <x:v>Action绘画记号笔提供相关着色工具类型，不证明户外石材耐候效果</x:v>
      </x:c>
      <x:c r="K376" s="4" t="str">
        <x:v>石材和涂层兼容未确认</x:v>
      </x:c>
      <x:c r="L376" s="4" t="str">
        <x:v>https://www.amazon.es/rotuladores-Resistente-intemperie-bol%C3%ADgrafos-limpieza/dp/B0HB4PM61M?psc=1</x:v>
      </x:c>
      <x:c r="M376" s="4" t="str">
        <x:v>B0_84bacc4c6b66_024789</x:v>
      </x:c>
      <x:c r="N376" s="4" t="str">
        <x:v>8125cceb5bd7f61a437b3f35a23384822062d82b54786d14352c0d6c29f70973</x:v>
      </x:c>
      <x:c r="O376" s="8"/>
      <x:c r="P376" s="8"/>
      <x:c r="Q376" s="8"/>
      <x:c r="R376" s="8"/>
    </x:row>
    <x:row r="377" ht="90" customHeight="1">
      <x:c r="A377" s="4" t="str">
        <x:v>P373</x:v>
      </x:c>
      <x:c r="B377" s="4" t="str">
        <x:v>SONGMICS Armario de Tela Portátil, Armario de Ropa Plegable, Montaje Fácil</x:v>
      </x:c>
      <x:c r="C377" s="4" t="str">
        <x:v>折叠布衣柜</x:v>
      </x:c>
      <x:c r="D377" s="4" t="str">
        <x:v>收纳衣物</x:v>
      </x:c>
      <x:c r="E377" s="4" t="str">
        <x:v>观察</x:v>
      </x:c>
      <x:c r="F377" s="4" t="str">
        <x:v>经营边界未确认</x:v>
      </x:c>
      <x:c r="G377" s="4" t="str">
        <x:v>3216158</x:v>
      </x:c>
      <x:c r="H377" s="4" t="str">
        <x:v>Armario de almacenaje plegable</x:v>
      </x:c>
      <x:c r="I377" s="4" t="str">
        <x:v>same_type</x:v>
      </x:c>
      <x:c r="J377" s="4" t="str">
        <x:v>Action折叠收纳柜对应主体，完整家具仍保留研究</x:v>
      </x:c>
      <x:c r="K377" s="4" t="str">
        <x:v>尺寸与稳定性未知</x:v>
      </x:c>
      <x:c r="L377" s="4" t="str">
        <x:v>https://www.amazon.es/SONGMICS-Port%C3%A1til-Varillas-Guardarropa-Dormitorio/dp/B07MTYHKZC/ref=sr_1_299?dib=eyJ2IjoiMSJ9.nNnCEdP3M0AGTzp25tkFK6kZlIvLuc1LF8WHHLTols91tGLjVELXsm0YlPrxfydrYSp232jURxagyrqK_ORGP0tNfgo00ox2Qo9lIaaPGZvGqjm3pHWNADp0ljUEB_3YXuQKQ5FEC04RgDAZTkFxcYHTd2HZdN5CKsSOGLguhESwTxibLoQnrQuI5ZDrECPnU2cKjGPhJIHWS5eMjEEnC7kCO8bgkynEpnu4qRcOgrDSyAXQk3se3lDa-XQSRKnZv03K297Twy4TZkuGALtlwUyzTm-id_qvWlK5VJJRf50.S_aJzmjbaV6gADubBpEcKn32OJ7-BuY66lhLogmYW3s&amp;dib_tag=se&amp;qid=1792596486&amp;s=kitchen&amp;sr=1-299&amp;srs=88626813031&amp;xpid=CeuYXw3Vdr0Bg</x:v>
      </x:c>
      <x:c r="M377" s="4" t="str">
        <x:v>B0_84bacc4c6b66_018034</x:v>
      </x:c>
      <x:c r="N377" s="4" t="str">
        <x:v>21f21b9dccfab10b9f0ad45a7ed40d034fea4bf329f0b1825e710c01c72ecc9e</x:v>
      </x:c>
      <x:c r="O377" s="8"/>
      <x:c r="P377" s="8"/>
      <x:c r="Q377" s="8"/>
      <x:c r="R377" s="8"/>
    </x:row>
    <x:row r="378" ht="90" customHeight="1">
      <x:c r="A378" s="4" t="str">
        <x:v>P374</x:v>
      </x:c>
      <x:c r="B378" s="4" t="str">
        <x:v>KIMISS Kit de Tornillos Chicago con Remaches de Cuero - 50 Juegos de Remaches de Cabeza Plana de Cobre Puro de 8 Mm para Manualidades en Cuero y Encuadernación de Cuadernos - Colores Personalizables</x:v>
      </x:c>
      <x:c r="C378" s="4" t="str">
        <x:v>皮革装订螺钉套装</x:v>
      </x:c>
      <x:c r="D378" s="4" t="str">
        <x:v>固定皮革或装订册页</x:v>
      </x:c>
      <x:c r="E378" s="4" t="str">
        <x:v>观察</x:v>
      </x:c>
      <x:c r="F378" s="4" t="str">
        <x:v>缺少有效Action参照</x:v>
      </x:c>
      <x:c r="G378" s="4" t="str"/>
      <x:c r="H378" s="4" t="str"/>
      <x:c r="I378" s="4" t="str">
        <x:v>none</x:v>
      </x:c>
      <x:c r="J378" s="4" t="str">
        <x:v>主体是装订连接件，不是笔记本成品</x:v>
      </x:c>
      <x:c r="K378" s="4" t="str">
        <x:v>具体杆径和组合结构未知</x:v>
      </x:c>
      <x:c r="L378" s="4" t="str">
        <x:v>https://www.amazon.es/KIMISS-Tornillos-Chicago-Remaches-Cuero/dp/B0G6ST2BKJ?psc=1</x:v>
      </x:c>
      <x:c r="M378" s="4" t="str">
        <x:v>B0_84bacc4c6b66_011141</x:v>
      </x:c>
      <x:c r="N378" s="4" t="str">
        <x:v>eb83fd86a141f89db8ea2e0db61129cad2edd9c621f82094051d9720c123079d</x:v>
      </x:c>
      <x:c r="O378" s="8"/>
      <x:c r="P378" s="8"/>
      <x:c r="Q378" s="8"/>
      <x:c r="R378" s="8"/>
    </x:row>
    <x:row r="379" ht="90" customHeight="1">
      <x:c r="A379" s="4" t="str">
        <x:v>P375</x:v>
      </x:c>
      <x:c r="B379" s="4" t="str">
        <x:v>Fissler Catania Sartén de acero inoxidable, diámetro de 24 cm, sin recubrimiento, sartén para guisar, ideal para freír, para todas las placas, también inducción</x:v>
      </x:c>
      <x:c r="C379" s="4" t="str">
        <x:v>不锈钢煎锅</x:v>
      </x:c>
      <x:c r="D379" s="4" t="str">
        <x:v>煎炒或烩煮食物</x:v>
      </x:c>
      <x:c r="E379" s="4" t="str">
        <x:v>保留</x:v>
      </x:c>
      <x:c r="F379" s="4" t="str"/>
      <x:c r="G379" s="4" t="str">
        <x:v>3016820</x:v>
      </x:c>
      <x:c r="H379" s="4" t="str">
        <x:v>Sartenes de acero inoxidable Redstone</x:v>
      </x:c>
      <x:c r="I379" s="4" t="str">
        <x:v>same_type</x:v>
      </x:c>
      <x:c r="J379" s="4" t="str">
        <x:v>Action不锈钢煎锅直接对应主体</x:v>
      </x:c>
      <x:c r="K379" s="4" t="str">
        <x:v>炉具适配声称未实测</x:v>
      </x:c>
      <x:c r="L379" s="4" t="str">
        <x:v>https://www.amazon.es/Fissler-Pfanne-Catania-%C3%9824-cm/dp/B00940JW9M/ref=sr_1_2739_mod_primary_new?dib=eyJ2IjoiMSJ9.XzBsOv4YGr8-spkzBEB2bTzY_jB8Vs73BQda8-qTCkazwgH8UlaRpqApbyp8E3d9mddU6xFnRI-o2nhDBWqBvImNRHe-mBhwoGivSilI3Lb8tixxGIEOWIHoPyZETfsaqal4n9_Ywid4FQemlfkBYPIf_O2EF8B_oEcToP6rBQAl42kU5FCHs--ZKjGxqrYYvVxhTRWFXDClFfdaPpIV-jqRBR4g9x9ef2AqZ8AcTMZ0t7IVOBsbWmaesNyRYFxjj5SAVCCEvNb9zEJFVBFAVTCw9gR1IMtlCUkxDK-SpUM.6SIPjQeNdXcAjXCc6lljHBwt2dznrOPqwrhzp4lNRzU&amp;dib_tag=se&amp;qid=1792651204&amp;s=kitchen&amp;sbo=RZvfv%2F%2FHxDF%2BO5021pAnSA%3D%3D&amp;sr=1-2739&amp;srs=88626813031&amp;xpid=qpnO31ULD-dQ4</x:v>
      </x:c>
      <x:c r="M379" s="4" t="str">
        <x:v>B0_84bacc4c6b66_007824</x:v>
      </x:c>
      <x:c r="N379" s="4" t="str">
        <x:v>224d8e37aeb42cce535919a3b7c2b911f35cdccbc199b0f7dcc5f74c7acff368</x:v>
      </x:c>
      <x:c r="O379" s="8"/>
      <x:c r="P379" s="8"/>
      <x:c r="Q379" s="8"/>
      <x:c r="R379" s="8"/>
    </x:row>
    <x:row r="380" ht="90" customHeight="1">
      <x:c r="A380" s="4" t="str">
        <x:v>P376</x:v>
      </x:c>
      <x:c r="B380" s="4" t="str">
        <x:v>Fundidor de Cera para Velas,1.5L Kit para Hhacer Velas con Termómetro, Derretidor de Cera para Velas con Cuchara, 100 Mechas y Accesorios, Hacedor de Jabón DIY(Caqui)</x:v>
      </x:c>
      <x:c r="C380" s="4" t="str">
        <x:v>蜡烛制作熔蜡套装</x:v>
      </x:c>
      <x:c r="D380" s="4" t="str">
        <x:v>熔蜡并制作蜡烛</x:v>
      </x:c>
      <x:c r="E380" s="4" t="str">
        <x:v>观察</x:v>
      </x:c>
      <x:c r="F380" s="4" t="str">
        <x:v>经营边界未确认</x:v>
      </x:c>
      <x:c r="G380" s="4" t="str">
        <x:v>3204087</x:v>
      </x:c>
      <x:c r="H380" s="4" t="str">
        <x:v>Crea tus propias velas Crafts &amp; Co</x:v>
      </x:c>
      <x:c r="I380" s="4" t="str">
        <x:v>related_type</x:v>
      </x:c>
      <x:c r="J380" s="4" t="str">
        <x:v>Action制作蜡烛套件提供活动类型参照，但本品熔蜡装置的供热方式未说明</x:v>
      </x:c>
      <x:c r="K380" s="4" t="str">
        <x:v>是否含电加热器及完整配件不明</x:v>
      </x:c>
      <x:c r="L380" s="4" t="str">
        <x:v>https://www.amazon.es/Fundidor-Term%C3%B3metro-Derretidor-Cuchara-Accesorios/dp/B0H7GQ6PWY?psc=1</x:v>
      </x:c>
      <x:c r="M380" s="4" t="str">
        <x:v>B0_84bacc4c6b66_008068</x:v>
      </x:c>
      <x:c r="N380" s="4" t="str">
        <x:v>44f914619bd4b5687e1ad43b78152b7928256813fbe5701f23582683624ae69f</x:v>
      </x:c>
      <x:c r="O380" s="8"/>
      <x:c r="P380" s="8"/>
      <x:c r="Q380" s="8"/>
      <x:c r="R380" s="8"/>
    </x:row>
    <x:row r="381" ht="90" customHeight="1">
      <x:c r="A381" s="4" t="str">
        <x:v>P377</x:v>
      </x:c>
      <x:c r="B381" s="4" t="str">
        <x:v>Stalora 100 Pinzas de Costura de Plástico en 9 Colores, Clips para Tela y Ropa, Accesorios de Costura Multiusos para Acolchar, Manualidades, Tejer y Fijación de Tela</x:v>
      </x:c>
      <x:c r="C381" s="4" t="str">
        <x:v>缝纫夹</x:v>
      </x:c>
      <x:c r="D381" s="4" t="str">
        <x:v>临时夹持布料</x:v>
      </x:c>
      <x:c r="E381" s="4" t="str">
        <x:v>保留</x:v>
      </x:c>
      <x:c r="F381" s="4" t="str"/>
      <x:c r="G381" s="4" t="str">
        <x:v>2532545</x:v>
      </x:c>
      <x:c r="H381" s="4" t="str">
        <x:v>Pinzas de ropa de plástico</x:v>
      </x:c>
      <x:c r="I381" s="4" t="str">
        <x:v>related_type</x:v>
      </x:c>
      <x:c r="J381" s="4" t="str">
        <x:v>Action衣夹提供夹持织物的相关类型，不推定两者适合相同厚度缝纫</x:v>
      </x:c>
      <x:c r="K381" s="4" t="str">
        <x:v>夹持力和布料厚度未知</x:v>
      </x:c>
      <x:c r="L381" s="4" t="str">
        <x:v>https://www.amazon.es/Stalora-Pl%C3%A1stico-Accesorios-Multiusos-Manualidades/dp/B0GCGXC9ZB?psc=1</x:v>
      </x:c>
      <x:c r="M381" s="4" t="str">
        <x:v>B0_84bacc4c6b66_019021</x:v>
      </x:c>
      <x:c r="N381" s="4" t="str">
        <x:v>c2e2fd7d821d7e303eb48648fb82ebaefd7c941804ff03ed4ab7a86e38eaf1ef</x:v>
      </x:c>
      <x:c r="O381" s="8"/>
      <x:c r="P381" s="8"/>
      <x:c r="Q381" s="8"/>
      <x:c r="R381" s="8"/>
    </x:row>
    <x:row r="382" ht="90" customHeight="1">
      <x:c r="A382" s="4" t="str">
        <x:v>P378</x:v>
      </x:c>
      <x:c r="B382" s="4" t="str">
        <x:v>MOPZIJA 4 Pcs Protectoras para Mascarilla CPAP - para Cintas de Mascarilla CPAP, Cobertores para Arnés Universal, Alivio de Presión y Almohadillas de Confort, Accesorios CPAP Respiradores</x:v>
      </x:c>
      <x:c r="C382" s="4" t="str">
        <x:v>CPAP头带保护垫</x:v>
      </x:c>
      <x:c r="D382" s="4" t="str">
        <x:v>垫护面罩固定带接触处</x:v>
      </x:c>
      <x:c r="E382" s="4" t="str">
        <x:v>观察</x:v>
      </x:c>
      <x:c r="F382" s="4" t="str">
        <x:v>专用或安装配件</x:v>
      </x:c>
      <x:c r="G382" s="4" t="str"/>
      <x:c r="H382" s="4" t="str"/>
      <x:c r="I382" s="4" t="str">
        <x:v>none</x:v>
      </x:c>
      <x:c r="J382" s="4" t="str">
        <x:v>是呼吸设备面罩带的舒适垫件，不是美容面膜</x:v>
      </x:c>
      <x:c r="K382" s="4" t="str">
        <x:v>医用设备适配和实际减压效果未知</x:v>
      </x:c>
      <x:c r="L382" s="4" t="str">
        <x:v>https://www.amazon.es/MOPZIJA-Protectoras-para-Mascarilla-CPAP/dp/B0GX6H1ZTM?psc=1</x:v>
      </x:c>
      <x:c r="M382" s="4" t="str">
        <x:v>B0_84bacc4c6b66_012862</x:v>
      </x:c>
      <x:c r="N382" s="4" t="str">
        <x:v>e02a869b3ac4e7ce6da9accc15926c98f8fe251450bb994341b5ec92c6eee925</x:v>
      </x:c>
      <x:c r="O382" s="8"/>
      <x:c r="P382" s="8"/>
      <x:c r="Q382" s="8"/>
      <x:c r="R382" s="8"/>
    </x:row>
    <x:row r="383" ht="90" customHeight="1">
      <x:c r="A383" s="4" t="str">
        <x:v>P379</x:v>
      </x:c>
      <x:c r="B383" s="4" t="str">
        <x:v>BISSELL ProHeat Revolution Aspiradora Limpieza Profunda Vertical 18582 | Tres modos de limpieza, tapicería y moquetas, con cable, para alfombras, escaleras y tapicería</x:v>
      </x:c>
      <x:c r="C383" s="4" t="str">
        <x:v>立式地毯清洁吸尘器</x:v>
      </x:c>
      <x:c r="D383" s="4" t="str">
        <x:v>清洁地毯及软垫</x:v>
      </x:c>
      <x:c r="E383" s="4" t="str">
        <x:v>保留</x:v>
      </x:c>
      <x:c r="F383" s="4" t="str"/>
      <x:c r="G383" s="4" t="str">
        <x:v>3009191</x:v>
      </x:c>
      <x:c r="H383" s="4" t="str">
        <x:v>Aspiradora para húmedo y seco Kärcher KWD1</x:v>
      </x:c>
      <x:c r="I383" s="4" t="str">
        <x:v>related_type</x:v>
      </x:c>
      <x:c r="J383" s="4" t="str">
        <x:v>Action干湿吸尘器支持具体家居深度清洁设备参照，原标题未表示机器人</x:v>
      </x:c>
      <x:c r="K383" s="4" t="str">
        <x:v>未推定加热或水箱结构</x:v>
      </x:c>
      <x:c r="L383" s="4" t="str">
        <x:v>https://www.amazon.es/Bissell-18582-BISSELL-ProHeat-Revolution/dp/B0DSLQV39Z?psc=1</x:v>
      </x:c>
      <x:c r="M383" s="4" t="str">
        <x:v>B0_84bacc4c6b66_002889</x:v>
      </x:c>
      <x:c r="N383" s="4" t="str">
        <x:v>5fd7fea7120ef3b325d7361b199176e7966f634e26165ebbcc8c7ef90630eee7</x:v>
      </x:c>
      <x:c r="O383" s="8"/>
      <x:c r="P383" s="8"/>
      <x:c r="Q383" s="8"/>
      <x:c r="R383" s="8"/>
    </x:row>
    <x:row r="384" ht="90" customHeight="1">
      <x:c r="A384" s="4" t="str">
        <x:v>P380</x:v>
      </x:c>
      <x:c r="B384" s="4" t="str">
        <x:v>LOKNZI Extensión de escalera plegable Pro, Plataforma para escalera | Extensión de nivelación de escalera con marco de acero y plataforma antideslizante, altura regulable de 23,5 a 39,4 cm para</x:v>
      </x:c>
      <x:c r="C384" s="4" t="str">
        <x:v>梯具调平延伸平台</x:v>
      </x:c>
      <x:c r="D384" s="4" t="str">
        <x:v>辅助梯具在不同高度位置支承</x:v>
      </x:c>
      <x:c r="E384" s="4" t="str">
        <x:v>观察</x:v>
      </x:c>
      <x:c r="F384" s="4" t="str">
        <x:v>专用或安装配件</x:v>
      </x:c>
      <x:c r="G384" s="4" t="str"/>
      <x:c r="H384" s="4" t="str"/>
      <x:c r="I384" s="4" t="str">
        <x:v>none</x:v>
      </x:c>
      <x:c r="J384" s="4" t="str">
        <x:v>销售主体是梯具辅助平台，不是折叠椅或梯子整件</x:v>
      </x:c>
      <x:c r="K384" s="4" t="str">
        <x:v>梯型适配和承载条件未知</x:v>
      </x:c>
      <x:c r="L384" s="4" t="str">
        <x:v>https://www.amazon.es/Extensi%C3%B3n-Plataforma-nivelaci%C3%B3n-plataforma-antideslizante/dp/B0GWQ77CF9?psc=1</x:v>
      </x:c>
      <x:c r="M384" s="4" t="str">
        <x:v>B0_84bacc4c6b66_007349</x:v>
      </x:c>
      <x:c r="N384" s="4" t="str">
        <x:v>665be3c5690adf16cf574e86bedf6168df2477c4dce8f41397e6ee91446cf13a</x:v>
      </x:c>
      <x:c r="O384" s="8"/>
      <x:c r="P384" s="8"/>
      <x:c r="Q384" s="8"/>
      <x:c r="R384" s="8"/>
    </x:row>
    <x:row r="385" ht="90" customHeight="1">
      <x:c r="A385" s="4" t="str">
        <x:v>P381</x:v>
      </x:c>
      <x:c r="B385" s="4" t="str">
        <x:v>De'Longhi Dinamica - Cafetera Superautomática 4 Bebidas Negro</x:v>
      </x:c>
      <x:c r="C385" s="4" t="str">
        <x:v>全自动咖啡机</x:v>
      </x:c>
      <x:c r="D385" s="4" t="str">
        <x:v>制作咖啡饮品</x:v>
      </x:c>
      <x:c r="E385" s="4" t="str">
        <x:v>观察</x:v>
      </x:c>
      <x:c r="F385" s="4" t="str">
        <x:v>经营边界未确认</x:v>
      </x:c>
      <x:c r="G385" s="4" t="str">
        <x:v>3214353</x:v>
      </x:c>
      <x:c r="H385" s="4" t="str">
        <x:v>Cafetera espresso</x:v>
      </x:c>
      <x:c r="I385" s="4" t="str">
        <x:v>related_type</x:v>
      </x:c>
      <x:c r="J385" s="4" t="str">
        <x:v>Action浓缩咖啡机是相关设备参照，自动化描述本身不批准排除</x:v>
      </x:c>
      <x:c r="K385" s="4" t="str">
        <x:v>未明确四种饮品配置</x:v>
      </x:c>
      <x:c r="L385" s="4" t="str">
        <x:v>https://www.amazon.es/DeLonghi-Dinamica-Superautom%C3%A1tica-Autom%C3%A1tica-ECAM350-55-B/dp/B01JOYVGFK/ref=sr_1_2765?dib=eyJ2IjoiMSJ9.cSvHoTCjaVq-kaFJ55K_dSK6XvgRVrFF2DxhfJ8UlA97oQHnrsNgep3uzw_-ZNNmlcjp4md6HVLVLVpeZx9GR-YDu_EsG0_kamwIRSyU2YpQ44VPggGNnMzp5frj_2aImUKQtV-6P0cfRspPLjB3JSkaAAxDnmgp-IpIa8JlsuJv4xZoGjRaP6vnpm7xcCHf7ARXzTvBxPD7TwQe-SP2zwm7WG5ulzfQFoFnA2z9KI3ZG1cUJ5zKYLY-iyNCjqb-yCwNZGbodvjbIdiBw-4rXtzPIvlM0G_9ZdMRpMtF7Hw.1LIo9c-46blrpado0a1Y-6p0aAe9JV2cb13P2gj9OJE&amp;dib_tag=se&amp;qid=1792599096&amp;s=kitchen&amp;sr=1-2765&amp;srs=88626813031&amp;xpid=CeuYXw3Vdr0Bg</x:v>
      </x:c>
      <x:c r="M385" s="4" t="str">
        <x:v>B0_84bacc4c6b66_005790</x:v>
      </x:c>
      <x:c r="N385" s="4" t="str">
        <x:v>ea5904c0e3f584ba81721a8718f33e11564bc0aa72fdfb59968c2b9c257f7577</x:v>
      </x:c>
      <x:c r="O385" s="8"/>
      <x:c r="P385" s="8"/>
      <x:c r="Q385" s="8"/>
      <x:c r="R385" s="8"/>
    </x:row>
    <x:row r="386" ht="90" customHeight="1">
      <x:c r="A386" s="4" t="str">
        <x:v>P382</x:v>
      </x:c>
      <x:c r="B386" s="4" t="str">
        <x:v>Yale YE3B/38/156/1/TE - Candado aluminio 35 mm turquesa 3 llaves, arco largo, EN12320, doble bloqueo antirrobo seguridad para taquilla, caja de herramientas, armario</x:v>
      </x:c>
      <x:c r="C386" s="4" t="str">
        <x:v>挂锁</x:v>
      </x:c>
      <x:c r="D386" s="4" t="str">
        <x:v>锁闭柜门或工具箱</x:v>
      </x:c>
      <x:c r="E386" s="4" t="str">
        <x:v>保留</x:v>
      </x:c>
      <x:c r="F386" s="4" t="str"/>
      <x:c r="G386" s="4" t="str">
        <x:v>3005483</x:v>
      </x:c>
      <x:c r="H386" s="4" t="str">
        <x:v>Candado</x:v>
      </x:c>
      <x:c r="I386" s="4" t="str">
        <x:v>same_type</x:v>
      </x:c>
      <x:c r="J386" s="4" t="str">
        <x:v>Action挂锁对应主体，柜子是应用场景</x:v>
      </x:c>
      <x:c r="K386" s="4" t="str">
        <x:v>标准和防盗性能未经核实</x:v>
      </x:c>
      <x:c r="L386" s="4" t="str">
        <x:v>https://www.amazon.es/Yale-YE3B-38-156-TE/dp/B08BGHSL3G?psc=1</x:v>
      </x:c>
      <x:c r="M386" s="4" t="str">
        <x:v>B0_84bacc4c6b66_022605</x:v>
      </x:c>
      <x:c r="N386" s="4" t="str">
        <x:v>843c5a3f63d0336d31c331dc53d4f0e83ca257b599fba30621e09d242ec58b8f</x:v>
      </x:c>
      <x:c r="O386" s="8"/>
      <x:c r="P386" s="8"/>
      <x:c r="Q386" s="8"/>
      <x:c r="R386" s="8"/>
    </x:row>
    <x:row r="387" ht="90" customHeight="1">
      <x:c r="A387" s="4" t="str">
        <x:v>P383</x:v>
      </x:c>
      <x:c r="B387" s="4" t="str">
        <x:v>Fyrindel Tetera de cristal, 1300 ml, tetera con colador, servicio de té | cristal de borosilicato, tetera de cristal, infusor para hojas sueltas</x:v>
      </x:c>
      <x:c r="C387" s="4" t="str">
        <x:v>带滤器玻璃茶壶</x:v>
      </x:c>
      <x:c r="D387" s="4" t="str">
        <x:v>浸泡并盛放茶饮</x:v>
      </x:c>
      <x:c r="E387" s="4" t="str">
        <x:v>保留</x:v>
      </x:c>
      <x:c r="F387" s="4" t="str"/>
      <x:c r="G387" s="4" t="str">
        <x:v>3217829</x:v>
      </x:c>
      <x:c r="H387" s="4" t="str">
        <x:v>Tetera de vidrio con filtro</x:v>
      </x:c>
      <x:c r="I387" s="4" t="str">
        <x:v>same_type</x:v>
      </x:c>
      <x:c r="J387" s="4" t="str">
        <x:v>Action玻璃滤茶壶直接对应</x:v>
      </x:c>
      <x:c r="K387" s="4" t="str">
        <x:v>耐温性未实测</x:v>
      </x:c>
      <x:c r="L387" s="4" t="str">
        <x:v>https://www.amazon.es/Fyrindel-cristal-colador-servicio-borosilicato/dp/B0HDN7QJ29?psc=1</x:v>
      </x:c>
      <x:c r="M387" s="4" t="str">
        <x:v>B0_84bacc4c6b66_008111</x:v>
      </x:c>
      <x:c r="N387" s="4" t="str">
        <x:v>852c2721b6497fe1f6270f9240cacb8f853d06c880fc68e97101a5fd1f237b50</x:v>
      </x:c>
      <x:c r="O387" s="8"/>
      <x:c r="P387" s="8"/>
      <x:c r="Q387" s="8"/>
      <x:c r="R387" s="8"/>
    </x:row>
    <x:row r="388" ht="90" customHeight="1">
      <x:c r="A388" s="4" t="str">
        <x:v>P384</x:v>
      </x:c>
      <x:c r="B388" s="4" t="str">
        <x:v>GarveeTech Deshumidificador Inteligente 30L/Día Para Hogar y Oficina |</x:v>
      </x:c>
      <x:c r="C388" s="4" t="str">
        <x:v>室内除湿机</x:v>
      </x:c>
      <x:c r="D388" s="4" t="str">
        <x:v>降低室内湿度</x:v>
      </x:c>
      <x:c r="E388" s="4" t="str">
        <x:v>观察</x:v>
      </x:c>
      <x:c r="F388" s="4" t="str">
        <x:v>经营边界未确认</x:v>
      </x:c>
      <x:c r="G388" s="4" t="str"/>
      <x:c r="H388" s="4" t="str"/>
      <x:c r="I388" s="4" t="str">
        <x:v>none</x:v>
      </x:c>
      <x:c r="J388" s="4" t="str">
        <x:v>主体是除湿设备，智能插座和摄像头不因智能一词成为相关参照</x:v>
      </x:c>
      <x:c r="K388" s="4" t="str">
        <x:v>除湿原理与能耗未知，标题截断</x:v>
      </x:c>
      <x:c r="L388" s="4" t="str">
        <x:v>https://www.amazon.es/GarveeTech-Deshumidificador-Inteligente-Hogar-Oficina/dp/B0HHFG9F5X?psc=1</x:v>
      </x:c>
      <x:c r="M388" s="4" t="str">
        <x:v>B0_84bacc4c6b66_008428</x:v>
      </x:c>
      <x:c r="N388" s="4" t="str">
        <x:v>2fa0305e855455134b6deeecdc07ef3d93407d2d498ac77c1bbc3a74ea54697e</x:v>
      </x:c>
      <x:c r="O388" s="8"/>
      <x:c r="P388" s="8"/>
      <x:c r="Q388" s="8"/>
      <x:c r="R388" s="8"/>
    </x:row>
    <x:row r="389" ht="90" customHeight="1">
      <x:c r="A389" s="4" t="str">
        <x:v>P385</x:v>
      </x:c>
      <x:c r="B389" s="4" t="str">
        <x:v>vhbw NiMH batería 1500mAh (4.8V) para Compex | 4H-AA1500, 941210, 941213</x:v>
      </x:c>
      <x:c r="C389" s="4" t="str">
        <x:v>镍氢替换电池</x:v>
      </x:c>
      <x:c r="D389" s="4" t="str">
        <x:v>为指定兼容设备供电</x:v>
      </x:c>
      <x:c r="E389" s="4" t="str">
        <x:v>观察</x:v>
      </x:c>
      <x:c r="F389" s="4" t="str">
        <x:v>专用或安装配件</x:v>
      </x:c>
      <x:c r="G389" s="4" t="str"/>
      <x:c r="H389" s="4" t="str"/>
      <x:c r="I389" s="4" t="str">
        <x:v>none</x:v>
      </x:c>
      <x:c r="J389" s="4" t="str">
        <x:v>原文明确NiMH，按给定型号识别替换电池，手机充电宝参照无效</x:v>
      </x:c>
      <x:c r="K389" s="4" t="str">
        <x:v>Compex具体宿主和接口未知</x:v>
      </x:c>
      <x:c r="L389" s="4" t="str">
        <x:v>https://www.amazon.es/vhbw-NiMH-bater%C3%ADa-1500mAh-Compex/dp/B07D3S33NY?psc=1</x:v>
      </x:c>
      <x:c r="M389" s="4" t="str">
        <x:v>B0_84bacc4c6b66_025069</x:v>
      </x:c>
      <x:c r="N389" s="4" t="str">
        <x:v>3e2dfeee5953c69ddcefcfc001e2e3493cb192de34ba826a272e6101fd7ff145</x:v>
      </x:c>
      <x:c r="O389" s="8"/>
      <x:c r="P389" s="8"/>
      <x:c r="Q389" s="8"/>
      <x:c r="R389" s="8"/>
    </x:row>
    <x:row r="390" ht="90" customHeight="1">
      <x:c r="A390" s="4" t="str">
        <x:v>P386</x:v>
      </x:c>
      <x:c r="B390" s="4" t="str">
        <x:v>Vexnaro 10M Manguera de Alta Presión Compatible con Karcher K2 /K3/ K4/ K5 /K6/ K7, Conector Rápido Tipo Clic, Manguera de Repuesto para Hidrolimpiadoras, Coches, Jardines, Fachadas y Suelos</x:v>
      </x:c>
      <x:c r="C390" s="4" t="str">
        <x:v>高压清洗机替换软管</x:v>
      </x:c>
      <x:c r="D390" s="4" t="str">
        <x:v>连接兼容清洗机输送高压水</x:v>
      </x:c>
      <x:c r="E390" s="4" t="str">
        <x:v>观察</x:v>
      </x:c>
      <x:c r="F390" s="4" t="str">
        <x:v>专用或安装配件</x:v>
      </x:c>
      <x:c r="G390" s="4" t="str"/>
      <x:c r="H390" s="4" t="str"/>
      <x:c r="I390" s="4" t="str">
        <x:v>none</x:v>
      </x:c>
      <x:c r="J390" s="4" t="str">
        <x:v>销售主体为特定清洗机接口软管，不是普通浇水管</x:v>
      </x:c>
      <x:c r="K390" s="4" t="str">
        <x:v>接口和承压条件需核对</x:v>
      </x:c>
      <x:c r="L390" s="4" t="str">
        <x:v>https://www.amazon.es/Vexnaro-Manguera-Compatible-Conector-Hidrolimpiadoras/dp/B0H5PCJWP3?psc=1</x:v>
      </x:c>
      <x:c r="M390" s="4" t="str">
        <x:v>B0_84bacc4c6b66_021373</x:v>
      </x:c>
      <x:c r="N390" s="4" t="str">
        <x:v>c79780905577dbdefb1e129562128030699e463f208b3a75ba8af03004c3b8be</x:v>
      </x:c>
      <x:c r="O390" s="8"/>
      <x:c r="P390" s="8"/>
      <x:c r="Q390" s="8"/>
      <x:c r="R390" s="8"/>
    </x:row>
    <x:row r="391" ht="90" customHeight="1">
      <x:c r="A391" s="4" t="str">
        <x:v>P387</x:v>
      </x:c>
      <x:c r="B391" s="4" t="str">
        <x:v>Todikaper Dispensador de agua portátil para uso en oficina, hogar, viajes | Salida caliente y fría, engranajes de 3 volúmenes, recargable por USB, se adapta a la mayoría de cubos</x:v>
      </x:c>
      <x:c r="C391" s="4" t="str">
        <x:v>便携饮水分配器</x:v>
      </x:c>
      <x:c r="D391" s="4" t="str">
        <x:v>从水桶分配饮用水</x:v>
      </x:c>
      <x:c r="E391" s="4" t="str">
        <x:v>观察</x:v>
      </x:c>
      <x:c r="F391" s="4" t="str">
        <x:v>经营边界未确认</x:v>
      </x:c>
      <x:c r="G391" s="4" t="str">
        <x:v>3217699</x:v>
      </x:c>
      <x:c r="H391" s="4" t="str">
        <x:v>Dispensador de agua caliente Tomado</x:v>
      </x:c>
      <x:c r="I391" s="4" t="str">
        <x:v>related_type</x:v>
      </x:c>
      <x:c r="J391" s="4" t="str">
        <x:v>Action热水分配设备提供相关用途，本品USB充电及冷热描述不足以证明加热制冷结构</x:v>
      </x:c>
      <x:c r="K391" s="4" t="str">
        <x:v>是否主动加热制冷及水桶适配未知</x:v>
      </x:c>
      <x:c r="L391" s="4" t="str">
        <x:v>https://www.amazon.es/Todikaper-Dispensador-port%C3%A1til-oficina-viajes/dp/B0HFCYSSNH?psc=1</x:v>
      </x:c>
      <x:c r="M391" s="4" t="str">
        <x:v>B0_84bacc4c6b66_020165</x:v>
      </x:c>
      <x:c r="N391" s="4" t="str">
        <x:v>83dfdc9e9ed2107df296dcd1fff974195fff467bcaa1e5139003da052b020e6d</x:v>
      </x:c>
      <x:c r="O391" s="8"/>
      <x:c r="P391" s="8"/>
      <x:c r="Q391" s="8"/>
      <x:c r="R391" s="8"/>
    </x:row>
    <x:row r="392" ht="90" customHeight="1">
      <x:c r="A392" s="4" t="str">
        <x:v>P388</x:v>
      </x:c>
      <x:c r="B392" s="4" t="str">
        <x:v>Kit de control remoto para ventilador de techo Opatiny DC, control remoto para ventilador de techo DC con 6 temporizadores, control remoto para ventilador de techo DC (C)</x:v>
      </x:c>
      <x:c r="C392" s="4" t="str">
        <x:v>吊扇遥控套件</x:v>
      </x:c>
      <x:c r="D392" s="4" t="str">
        <x:v>控制兼容吊扇</x:v>
      </x:c>
      <x:c r="E392" s="4" t="str">
        <x:v>观察</x:v>
      </x:c>
      <x:c r="F392" s="4" t="str">
        <x:v>专用或安装配件</x:v>
      </x:c>
      <x:c r="G392" s="4" t="str"/>
      <x:c r="H392" s="4" t="str"/>
      <x:c r="I392" s="4" t="str">
        <x:v>none</x:v>
      </x:c>
      <x:c r="J392" s="4" t="str">
        <x:v>这是吊扇控制部件，带遥控的灯具或风扇整机不能作为同类配件证明</x:v>
      </x:c>
      <x:c r="K392" s="4" t="str">
        <x:v>套件组成和兼容性未知</x:v>
      </x:c>
      <x:c r="L392" s="4" t="str">
        <x:v>https://www.amazon.es/control-remoto-ventilador-Opatiny-temporizadores/dp/B0HCXTH5D7?psc=1</x:v>
      </x:c>
      <x:c r="M392" s="4" t="str">
        <x:v>B0_84bacc4c6b66_023557</x:v>
      </x:c>
      <x:c r="N392" s="4" t="str">
        <x:v>cf60446cb5232982b78be7f4e6733c741c31753c5004030924312e0029823bba</x:v>
      </x:c>
      <x:c r="O392" s="8"/>
      <x:c r="P392" s="8"/>
      <x:c r="Q392" s="8"/>
      <x:c r="R392" s="8"/>
    </x:row>
    <x:row r="393" ht="90" customHeight="1">
      <x:c r="A393" s="4" t="str">
        <x:v>P389</x:v>
      </x:c>
      <x:c r="B393" s="4" t="str">
        <x:v>Humidificador de coche USB con niebla de luz estrellada 26dB silencioso (rosa)</x:v>
      </x:c>
      <x:c r="C393" s="4" t="str">
        <x:v>USB车用加湿器</x:v>
      </x:c>
      <x:c r="D393" s="4" t="str">
        <x:v>增加车内局部湿度</x:v>
      </x:c>
      <x:c r="E393" s="4" t="str">
        <x:v>观察</x:v>
      </x:c>
      <x:c r="F393" s="4" t="str">
        <x:v>经营边界未确认</x:v>
      </x:c>
      <x:c r="G393" s="4" t="str"/>
      <x:c r="H393" s="4" t="str"/>
      <x:c r="I393" s="4" t="str">
        <x:v>none</x:v>
      </x:c>
      <x:c r="J393" s="4" t="str">
        <x:v>主体为加湿器，汽车玩具只是共享车词</x:v>
      </x:c>
      <x:c r="K393" s="4" t="str">
        <x:v>容量及加湿方式未说明</x:v>
      </x:c>
      <x:c r="L393" s="4" t="str">
        <x:v>https://www.amazon.es/Humidificador-coche-niebla-estrellada-silencioso/dp/B0HCXQ6BMX?psc=1</x:v>
      </x:c>
      <x:c r="M393" s="4" t="str">
        <x:v>B0_84bacc4c6b66_009916</x:v>
      </x:c>
      <x:c r="N393" s="4" t="str">
        <x:v>a7f72d234fb1e866359e2b8e32ad634a1345cdb8266dcb785d68c8ec05d3506e</x:v>
      </x:c>
      <x:c r="O393" s="8"/>
      <x:c r="P393" s="8"/>
      <x:c r="Q393" s="8"/>
      <x:c r="R393" s="8"/>
    </x:row>
    <x:row r="394" ht="90" customHeight="1">
      <x:c r="A394" s="4" t="str">
        <x:v>P390</x:v>
      </x:c>
      <x:c r="B394" s="4" t="str">
        <x:v>Paquete de 2 organizadores adhesivos de ducha, estantes de baño transparentes de 9 x 4 x 3 pulgadas, resistentes al óxido, con agujeros de drenaje, organizador de almacenamiento de baño montado en la</x:v>
      </x:c>
      <x:c r="C394" s="4" t="str">
        <x:v>淋浴收纳架</x:v>
      </x:c>
      <x:c r="D394" s="4" t="str">
        <x:v>收纳洗浴用品</x:v>
      </x:c>
      <x:c r="E394" s="4" t="str">
        <x:v>保留</x:v>
      </x:c>
      <x:c r="F394" s="4" t="str"/>
      <x:c r="G394" s="4" t="str">
        <x:v>3015864</x:v>
      </x:c>
      <x:c r="H394" s="4" t="str">
        <x:v>Repisa de ducha Cascata</x:v>
      </x:c>
      <x:c r="I394" s="4" t="str">
        <x:v>same_type</x:v>
      </x:c>
      <x:c r="J394" s="4" t="str">
        <x:v>Action淋浴搁架对应销售主体，黏贴方式是本品特征</x:v>
      </x:c>
      <x:c r="K394" s="4" t="str">
        <x:v>墙面兼容及承载未验证</x:v>
      </x:c>
      <x:c r="L394" s="4" t="str">
        <x:v>https://www.amazon.es/organizadores-transparentes-resistentes-organizador-almacenamiento/dp/B0HBWR8ZKZ?psc=1</x:v>
      </x:c>
      <x:c r="M394" s="4" t="str">
        <x:v>B0_84bacc4c6b66_024465</x:v>
      </x:c>
      <x:c r="N394" s="4" t="str">
        <x:v>173392aecfb5f15eb03bba185bed6aa00344b580bd9ffa3a49fd39bee964481a</x:v>
      </x:c>
      <x:c r="O394" s="8"/>
      <x:c r="P394" s="8"/>
      <x:c r="Q394" s="8"/>
      <x:c r="R394" s="8"/>
    </x:row>
    <x:row r="395" ht="90" customHeight="1">
      <x:c r="A395" s="4" t="str">
        <x:v>P391</x:v>
      </x:c>
      <x:c r="B395" s="4" t="str">
        <x:v>Technivorm Moccamaster 85022 Moccamaster #4 Filtros de papel, Blanco (2)... (Versión original)</x:v>
      </x:c>
      <x:c r="C395" s="4" t="str">
        <x:v>设备用4号滤纸</x:v>
      </x:c>
      <x:c r="D395" s="4" t="str">
        <x:v>过滤用途，适用设备待核对</x:v>
      </x:c>
      <x:c r="E395" s="4" t="str">
        <x:v>观察</x:v>
      </x:c>
      <x:c r="F395" s="4" t="str">
        <x:v>专用或安装配件</x:v>
      </x:c>
      <x:c r="G395" s="4" t="str"/>
      <x:c r="H395" s="4" t="str"/>
      <x:c r="I395" s="4" t="str">
        <x:v>none</x:v>
      </x:c>
      <x:c r="J395" s="4" t="str">
        <x:v>标题只明确品牌型号和纸滤件，不凭品牌补出具体过滤设备</x:v>
      </x:c>
      <x:c r="K395" s="4" t="str">
        <x:v>用途和兼容设备未逐字写明</x:v>
      </x:c>
      <x:c r="L395" s="4" t="str">
        <x:v>https://www.amazon.es/Technivorm-85022-Moccamaster-Filtros-blanco/dp/B07BH4MWV2?psc=1</x:v>
      </x:c>
      <x:c r="M395" s="4" t="str">
        <x:v>B0_84bacc4c6b66_019786</x:v>
      </x:c>
      <x:c r="N395" s="4" t="str">
        <x:v>20792ca78717aa976e25a7c41db067cb17bcba9e7fb18256a092b7f13db0fa60</x:v>
      </x:c>
      <x:c r="O395" s="8"/>
      <x:c r="P395" s="8"/>
      <x:c r="Q395" s="8"/>
      <x:c r="R395" s="8"/>
    </x:row>
    <x:row r="396" ht="90" customHeight="1">
      <x:c r="A396" s="4" t="str">
        <x:v>P392</x:v>
      </x:c>
      <x:c r="B396" s="4" t="str">
        <x:v>Sweejar Home Tetera de porcelana con infusor y tapa, tetera con filtro de 890 ml para té, café, leche, mujeres, oficina, hogar, regalo (forma de calabaza, rosa 1)</x:v>
      </x:c>
      <x:c r="C396" s="4" t="str">
        <x:v>带滤器瓷茶壶</x:v>
      </x:c>
      <x:c r="D396" s="4" t="str">
        <x:v>浸泡茶叶并盛茶</x:v>
      </x:c>
      <x:c r="E396" s="4" t="str">
        <x:v>保留</x:v>
      </x:c>
      <x:c r="F396" s="4" t="str"/>
      <x:c r="G396" s="4" t="str">
        <x:v>3010883</x:v>
      </x:c>
      <x:c r="H396" s="4" t="str">
        <x:v>Tetera con filtro</x:v>
      </x:c>
      <x:c r="I396" s="4" t="str">
        <x:v>same_type</x:v>
      </x:c>
      <x:c r="J396" s="4" t="str">
        <x:v>Action滤茶壶对应类型，不以参照补出瓷材质</x:v>
      </x:c>
      <x:c r="K396" s="4" t="str">
        <x:v>耐温与容量未实测</x:v>
      </x:c>
      <x:c r="L396" s="4" t="str">
        <x:v>https://www.amazon.es/Sweejar-Home-porcelana-infusor-calabaza/dp/B0D9JBQFNL?psc=1</x:v>
      </x:c>
      <x:c r="M396" s="4" t="str">
        <x:v>B0_84bacc4c6b66_019175</x:v>
      </x:c>
      <x:c r="N396" s="4" t="str">
        <x:v>bef6f5573f8da31838388eb8979e187c560bf7e086489592ec64d1bb61023db7</x:v>
      </x:c>
      <x:c r="O396" s="8"/>
      <x:c r="P396" s="8"/>
      <x:c r="Q396" s="8"/>
      <x:c r="R396" s="8"/>
    </x:row>
    <x:row r="397" ht="90" customHeight="1">
      <x:c r="A397" s="4" t="str">
        <x:v>P393</x:v>
      </x:c>
      <x:c r="B397" s="4" t="str">
        <x:v>Uniclife Armario de Llaves de 40 Posiciones con Cerradura de combinación, Caja de Almacenamiento de Seguridad Digital Negra reajustable, Organizador de Llaves de Acero con estantes Ajustables,</x:v>
      </x:c>
      <x:c r="C397" s="4" t="str">
        <x:v>钥匙保管柜</x:v>
      </x:c>
      <x:c r="D397" s="4" t="str">
        <x:v>集中保管钥匙</x:v>
      </x:c>
      <x:c r="E397" s="4" t="str">
        <x:v>保留</x:v>
      </x:c>
      <x:c r="F397" s="4" t="str"/>
      <x:c r="G397" s="4" t="str">
        <x:v>3000196</x:v>
      </x:c>
      <x:c r="H397" s="4" t="str">
        <x:v>Armario para llaves Home Accents</x:v>
      </x:c>
      <x:c r="I397" s="4" t="str">
        <x:v>same_type</x:v>
      </x:c>
      <x:c r="J397" s="4" t="str">
        <x:v>Action钥匙柜对应专用小物收纳主体，不把Armario单词一律当大型家具</x:v>
      </x:c>
      <x:c r="K397" s="4" t="str">
        <x:v>锁具防盗表现和尺寸未明确</x:v>
      </x:c>
      <x:c r="L397" s="4" t="str">
        <x:v>https://www.amazon.es/Uniclife-combinaci%C3%B3n-almacenamiento-reajustable-organizador/dp/B0CQJFR4KB?psc=1</x:v>
      </x:c>
      <x:c r="M397" s="4" t="str">
        <x:v>B0_84bacc4c6b66_020633</x:v>
      </x:c>
      <x:c r="N397" s="4" t="str">
        <x:v>6e125f983ed8b1f306a7283d492480ac34c5549bdd9ecd23af24d4703a293fee</x:v>
      </x:c>
      <x:c r="O397" s="8"/>
      <x:c r="P397" s="8"/>
      <x:c r="Q397" s="8"/>
      <x:c r="R397" s="8"/>
    </x:row>
    <x:row r="398" ht="90" customHeight="1">
      <x:c r="A398" s="4" t="str">
        <x:v>P394</x:v>
      </x:c>
      <x:c r="B398" s="4" t="str">
        <x:v>Kit de árbol de Navidad acolchado de bricolaje – tela de retazos de corona | Kit de costura acolchado para colgador de puerta, precortado, ideal para principiantes, con patrón festivo y gran juego de</x:v>
      </x:c>
      <x:c r="C398" s="4" t="str">
        <x:v>圣诞拼布挂饰制作套装</x:v>
      </x:c>
      <x:c r="D398" s="4" t="str">
        <x:v>缝制节日门挂装饰</x:v>
      </x:c>
      <x:c r="E398" s="4" t="str">
        <x:v>观察</x:v>
      </x:c>
      <x:c r="F398" s="4" t="str">
        <x:v>缺少有效Action参照</x:v>
      </x:c>
      <x:c r="G398" s="4" t="str"/>
      <x:c r="H398" s="4" t="str"/>
      <x:c r="I398" s="4" t="str">
        <x:v>none</x:v>
      </x:c>
      <x:c r="J398" s="4" t="str">
        <x:v>主体是预裁布缝纫套件，成品圣诞树不等同制作套件</x:v>
      </x:c>
      <x:c r="K398" s="4" t="str">
        <x:v>树与花环表述并存，成品形状未确认</x:v>
      </x:c>
      <x:c r="L398" s="4" t="str">
        <x:v>https://www.amazon.es/%C3%A1rbol-Navidad-acolchado-bricolaje-principiantes/dp/B0HHHVWB51?psc=1</x:v>
      </x:c>
      <x:c r="M398" s="4" t="str">
        <x:v>B0_84bacc4c6b66_000004</x:v>
      </x:c>
      <x:c r="N398" s="4" t="str">
        <x:v>8243d7f08a7360b49ecee3ec39d3ce37ede683c4ce8905334a888b899e882635</x:v>
      </x:c>
      <x:c r="O398" s="8"/>
      <x:c r="P398" s="8"/>
      <x:c r="Q398" s="8"/>
      <x:c r="R398" s="8"/>
    </x:row>
    <x:row r="399" ht="90" customHeight="1">
      <x:c r="A399" s="4" t="str">
        <x:v>P395</x:v>
      </x:c>
      <x:c r="B399" s="4" t="str">
        <x:v>Kit Conjunto Agujas de Ganchillos, 14 Piezas Crochet Hook Set de Ganchillos Accesorios, Kit de Agujas de Tejer con Manijas Ergonómicas de Agarre Suave, Regalo para Mujer (2,0 mm a 10,0 mm)</x:v>
      </x:c>
      <x:c r="C399" s="4" t="str">
        <x:v>钩针套装</x:v>
      </x:c>
      <x:c r="D399" s="4" t="str">
        <x:v>进行手工钩织</x:v>
      </x:c>
      <x:c r="E399" s="4" t="str">
        <x:v>保留</x:v>
      </x:c>
      <x:c r="F399" s="4" t="str"/>
      <x:c r="G399" s="4" t="str">
        <x:v>3202114</x:v>
      </x:c>
      <x:c r="H399" s="4" t="str">
        <x:v>Agujas de ganchillo</x:v>
      </x:c>
      <x:c r="I399" s="4" t="str">
        <x:v>same_type</x:v>
      </x:c>
      <x:c r="J399" s="4" t="str">
        <x:v>Action钩针对应主要工具，织针仅为标题混用说明</x:v>
      </x:c>
      <x:c r="K399" s="4" t="str">
        <x:v>握持舒适性未验证</x:v>
      </x:c>
      <x:c r="L399" s="4" t="str">
        <x:v>https://www.amazon.es/Conjunto-Ganchillos-Crochet-Accesorios-Ergon%C3%B3micas/dp/B0DRYLSHKB?psc=1</x:v>
      </x:c>
      <x:c r="M399" s="4" t="str">
        <x:v>B0_84bacc4c6b66_005007</x:v>
      </x:c>
      <x:c r="N399" s="4" t="str">
        <x:v>4a222e2d7ba57dbf15ac48ac6d913b88a97f1ac376dca5f7eb46663b3bf0870c</x:v>
      </x:c>
      <x:c r="O399" s="8"/>
      <x:c r="P399" s="8"/>
      <x:c r="Q399" s="8"/>
      <x:c r="R399" s="8"/>
    </x:row>
    <x:row r="400" ht="90" customHeight="1">
      <x:c r="A400" s="4" t="str">
        <x:v>P396</x:v>
      </x:c>
      <x:c r="B400" s="4" t="str">
        <x:v>Hejo Mini Tarros de Cristal con Tapa, 100 ml/3,4 oz, 4 Piezas | Tarros Mason con Textura de Rejilla y Tapa, Tarros Herméticos para Mermelada Miel Especias Avena Nocturna</x:v>
      </x:c>
      <x:c r="C400" s="4" t="str">
        <x:v>带盖小玻璃罐</x:v>
      </x:c>
      <x:c r="D400" s="4" t="str">
        <x:v>储存果酱或调料</x:v>
      </x:c>
      <x:c r="E400" s="4" t="str">
        <x:v>保留</x:v>
      </x:c>
      <x:c r="F400" s="4" t="str"/>
      <x:c r="G400" s="4" t="str">
        <x:v>3211649</x:v>
      </x:c>
      <x:c r="H400" s="4" t="str">
        <x:v>Tarro de conserva con tapa</x:v>
      </x:c>
      <x:c r="I400" s="4" t="str">
        <x:v>same_type</x:v>
      </x:c>
      <x:c r="J400" s="4" t="str">
        <x:v>Action带盖保存罐直接对应</x:v>
      </x:c>
      <x:c r="K400" s="4" t="str">
        <x:v>密封性未实测</x:v>
      </x:c>
      <x:c r="L400" s="4" t="str">
        <x:v>https://www.amazon.es/Hejo-Mini-Tarros-Cristal-Piezas/dp/B0GFDNH819?psc=1</x:v>
      </x:c>
      <x:c r="M400" s="4" t="str">
        <x:v>B0_84bacc4c6b66_009556</x:v>
      </x:c>
      <x:c r="N400" s="4" t="str">
        <x:v>eafdaf89379ec23b597ba74920c5bd430878cb0e07760579f2ec8f0f5ad5726b</x:v>
      </x:c>
      <x:c r="O400" s="8"/>
      <x:c r="P400" s="8"/>
      <x:c r="Q400" s="8"/>
      <x:c r="R400" s="8"/>
    </x:row>
    <x:row r="401" ht="90" customHeight="1">
      <x:c r="A401" s="4" t="str">
        <x:v>P397</x:v>
      </x:c>
      <x:c r="B401" s="4" t="str">
        <x:v>SONGMICS Mesa de Cama Portátil, Patas Plegables de Bambú y MDF, con Cajón</x:v>
      </x:c>
      <x:c r="C401" s="4" t="str">
        <x:v>折叠床上桌</x:v>
      </x:c>
      <x:c r="D401" s="4" t="str">
        <x:v>床上支撑物品</x:v>
      </x:c>
      <x:c r="E401" s="4" t="str">
        <x:v>观察</x:v>
      </x:c>
      <x:c r="F401" s="4" t="str">
        <x:v>经营边界未确认</x:v>
      </x:c>
      <x:c r="G401" s="4" t="str">
        <x:v>3011155</x:v>
      </x:c>
      <x:c r="H401" s="4" t="str">
        <x:v>Mesa de dibujo portátil</x:v>
      </x:c>
      <x:c r="I401" s="4" t="str">
        <x:v>related_type</x:v>
      </x:c>
      <x:c r="J401" s="4" t="str">
        <x:v>Action便携绘图桌是相关支撑桌类，完整桌家具仍保留研究</x:v>
      </x:c>
      <x:c r="K401" s="4" t="str">
        <x:v>承载和床面稳定性未知</x:v>
      </x:c>
      <x:c r="L401" s="4" t="str">
        <x:v>https://www.amazon.es/SONGMICS-Escritorio-Ajustable-Plegables-LLD105B01/dp/B08B37JX58/ref=sr_1_2754?dib=eyJ2IjoiMSJ9.XzBsOv4YGr8-spkzBEB2bTzY_jB8Vs73BQda8-qTCkazwgH8UlaRpqApbyp8E3d9mddU6xFnRI-o2nhDBWqBvImNRHe-mBhwoGivSilI3Lb8tixxGIEOWIHoPyZETfsaqal4n9_Ywid4FQemlfkBYPIf_O2EF8B_oEcToP6rBQAl42kU5FCHs--ZKjGxqrYYvVxhTRWFXDClFfdaPpIV-jqRBR4g9x9ef2AqZ8AcTMZ0t7IVOBsbWmaesNyRYFxjj5SAVCCEvNb9zEJFVBFAVTCw9gR1IMtlCUkxDK-SpUM.6SIPjQeNdXcAjXCc6lljHBwt2dznrOPqwrhzp4lNRzU&amp;dib_tag=se&amp;qid=1792651204&amp;s=kitchen&amp;sr=1-2754&amp;srs=88626813031&amp;xpid=qpnO31ULD-dQ4</x:v>
      </x:c>
      <x:c r="M401" s="4" t="str">
        <x:v>B0_84bacc4c6b66_017948</x:v>
      </x:c>
      <x:c r="N401" s="4" t="str">
        <x:v>c7811f13c6d4bf43594ecd580ae5537a1bd772722b5fc1fcf7acb1234683b8f4</x:v>
      </x:c>
      <x:c r="O401" s="8"/>
      <x:c r="P401" s="8"/>
      <x:c r="Q401" s="8"/>
      <x:c r="R401" s="8"/>
    </x:row>
    <x:row r="402" ht="90" customHeight="1">
      <x:c r="A402" s="4" t="str">
        <x:v>P398</x:v>
      </x:c>
      <x:c r="B402" s="4" t="str">
        <x:v>Lepro Guirnaldas Luces Exteriores Solar USB, 25+1 LEDs Bombillas G40, 7.62m</x:v>
      </x:c>
      <x:c r="C402" s="4" t="str">
        <x:v>太阳能户外灯串</x:v>
      </x:c>
      <x:c r="D402" s="4" t="str">
        <x:v>户外氛围照明</x:v>
      </x:c>
      <x:c r="E402" s="4" t="str">
        <x:v>保留</x:v>
      </x:c>
      <x:c r="F402" s="4" t="str"/>
      <x:c r="G402" s="4" t="str">
        <x:v>3016140</x:v>
      </x:c>
      <x:c r="H402" s="4" t="str">
        <x:v>Guirnalda de luces Solar</x:v>
      </x:c>
      <x:c r="I402" s="4" t="str">
        <x:v>same_type</x:v>
      </x:c>
      <x:c r="J402" s="4" t="str">
        <x:v>Action太阳能灯串与主体同类</x:v>
      </x:c>
      <x:c r="K402" s="4" t="str">
        <x:v>防水及续航未核实</x:v>
      </x:c>
      <x:c r="L402" s="4" t="str">
        <x:v>https://www.amazon.es/Guirnaldas-Bombillas-Luminosas-Impermeable-Decorativas/dp/B07Y1SV72F/ref=sr_1_3003?dib=eyJ2IjoiMSJ9.jWYCmQp8bkFCsZsWlcC8r0gnFtbEbQR5xGK7jTbGb6avOzyW1hFRMY_xMrroUa6XqF5ueGnWBtIxLzo8p96XXKU8MUCTdBkk8cfaKopSOcZtpmigEft-MCRTP11B5qVB6ReZIpz-B_gXvFPNItOXULaGvVi7VfcS4DL9YQnSze4s4Htkk3eeAPnoVvCFpyIHb1azsn383rWWokwiVa7SJf8_UZs0UbgsU5KJfZmNrjo_U6ZFkJuU-FumK3KHicCiWt4z3XuyQty-vuIK58iXdHcY_Z59_VeZeDA2_i80cIo.uYTKeu2uSfH0q7xJsDQ7ciS-Kx7EtKRQ3efWwrbZxGo&amp;dib_tag=se&amp;qid=1792651513&amp;s=kitchen&amp;sr=1-3003&amp;srs=88626813031&amp;xpid=qpnO31ULD-dQ4</x:v>
      </x:c>
      <x:c r="M402" s="4" t="str">
        <x:v>B0_84bacc4c6b66_008870</x:v>
      </x:c>
      <x:c r="N402" s="4" t="str">
        <x:v>7dd5767b16d908d93c1e3ad3eec5584fa4fd4ecbf495452abf78f6b127ccccae</x:v>
      </x:c>
      <x:c r="O402" s="8"/>
      <x:c r="P402" s="8"/>
      <x:c r="Q402" s="8"/>
      <x:c r="R402" s="8"/>
    </x:row>
    <x:row r="403" ht="90" customHeight="1">
      <x:c r="A403" s="4" t="str">
        <x:v>P399</x:v>
      </x:c>
      <x:c r="B403" s="4" t="str">
        <x:v>GNCC Cámara Vigilancia WiFi Interior 2K 3MP 2.4/5GHz Visión Nocturna 1 Pack | Monitor Bebés y Mascotas, SD/Cloud, 360°PTZ, Detección Movimiento e IA, Audio Bidireccional, Modo Privado, Alarma</x:v>
      </x:c>
      <x:c r="C403" s="4" t="str">
        <x:v>室内WiFi摄像头</x:v>
      </x:c>
      <x:c r="D403" s="4" t="str">
        <x:v>观察室内活动</x:v>
      </x:c>
      <x:c r="E403" s="4" t="str">
        <x:v>保留</x:v>
      </x:c>
      <x:c r="F403" s="4" t="str"/>
      <x:c r="G403" s="4" t="str">
        <x:v>3223992</x:v>
      </x:c>
      <x:c r="H403" s="4" t="str">
        <x:v>Cámara wifi de interior TP-link</x:v>
      </x:c>
      <x:c r="I403" s="4" t="str">
        <x:v>same_type</x:v>
      </x:c>
      <x:c r="J403" s="4" t="str">
        <x:v>Action室内WiFi摄像头直接对应，运动检测不等同复杂工业系统</x:v>
      </x:c>
      <x:c r="K403" s="4" t="str">
        <x:v>云服务及识别表现未核实</x:v>
      </x:c>
      <x:c r="L403" s="4" t="str">
        <x:v>https://www.amazon.es/GNCC-Vigilancia-Seguimiento-Detecci%C3%B3n-Bidireccional/dp/B0F1TGSYJ6?psc=1</x:v>
      </x:c>
      <x:c r="M403" s="4" t="str">
        <x:v>B0_84bacc4c6b66_008209</x:v>
      </x:c>
      <x:c r="N403" s="4" t="str">
        <x:v>2877fb8ffbca0c1320e451cecbb1c2c97aa245a9465542e90131f850f59d6bcc</x:v>
      </x:c>
      <x:c r="O403" s="8"/>
      <x:c r="P403" s="8"/>
      <x:c r="Q403" s="8"/>
      <x:c r="R403" s="8"/>
    </x:row>
    <x:row r="404" ht="90" customHeight="1">
      <x:c r="A404" s="4" t="str">
        <x:v>P400</x:v>
      </x:c>
      <x:c r="B404" s="4" t="str">
        <x:v>Juego de 3 Molinillos de Sal y Pimienta, Cierre de Acero Inoxidable y Molino de Cerámica con Grosor Ajustable Pimentero o Especiero, Molinos Manuales, 200ML</x:v>
      </x:c>
      <x:c r="C404" s="4" t="str">
        <x:v>手动盐胡椒研磨器套装</x:v>
      </x:c>
      <x:c r="D404" s="4" t="str">
        <x:v>研磨调味料</x:v>
      </x:c>
      <x:c r="E404" s="4" t="str">
        <x:v>保留</x:v>
      </x:c>
      <x:c r="F404" s="4" t="str"/>
      <x:c r="G404" s="4" t="str">
        <x:v>3223486</x:v>
      </x:c>
      <x:c r="H404" s="4" t="str">
        <x:v>Set de molinillos de sal y pimienta</x:v>
      </x:c>
      <x:c r="I404" s="4" t="str">
        <x:v>same_type</x:v>
      </x:c>
      <x:c r="J404" s="4" t="str">
        <x:v>Action盐胡椒研磨器套装直接对应</x:v>
      </x:c>
      <x:c r="K404" s="4" t="str">
        <x:v>研磨粗细表现未实测</x:v>
      </x:c>
      <x:c r="L404" s="4" t="str">
        <x:v>https://www.amazon.es/Molinillos-Inoxidable-Ajustable-Pimentero-Especiero/dp/B0CH9YZPFS?psc=1</x:v>
      </x:c>
      <x:c r="M404" s="4" t="str">
        <x:v>B0_84bacc4c6b66_013643</x:v>
      </x:c>
      <x:c r="N404" s="4" t="str">
        <x:v>4ad6a3d7a8dfccdc51ac6a5166f59d262870a2165b8c4b65d873187fe7b170a6</x:v>
      </x:c>
      <x:c r="O404" s="8"/>
      <x:c r="P404" s="8"/>
      <x:c r="Q404" s="8"/>
      <x:c r="R404" s="8"/>
    </x:row>
    <x:row r="405" ht="90" customHeight="1">
      <x:c r="A405" s="4" t="str">
        <x:v>P401</x:v>
      </x:c>
      <x:c r="B405" s="4" t="str">
        <x:v>OLIGHT Oclip 2 Pro Linterna de Clip 3-en-1 LED Alta Potencia EDC 530LM 125M | Pinza Magnética 360°, Cabezal Ajustable 115°, Mini Luz Recargable USB-C, IP66, Blanca y Roja Regulable, Exterior, Emergencia</x:v>
      </x:c>
      <x:c r="C405" s="4" t="str">
        <x:v>夹持式充电手电</x:v>
      </x:c>
      <x:c r="D405" s="4" t="str">
        <x:v>便携照明</x:v>
      </x:c>
      <x:c r="E405" s="4" t="str">
        <x:v>保留</x:v>
      </x:c>
      <x:c r="F405" s="4" t="str"/>
      <x:c r="G405" s="4" t="str">
        <x:v>3225098</x:v>
      </x:c>
      <x:c r="H405" s="4" t="str">
        <x:v>Linterna recargable</x:v>
      </x:c>
      <x:c r="I405" s="4" t="str">
        <x:v>related_type</x:v>
      </x:c>
      <x:c r="J405" s="4" t="str">
        <x:v>Action充电手电支持完整照明主体，夹具由本品标题提供</x:v>
      </x:c>
      <x:c r="K405" s="4" t="str">
        <x:v>亮度和防水等级未验证</x:v>
      </x:c>
      <x:c r="L405" s="4" t="str">
        <x:v>https://www.amazon.es/OLIGHT-Magn%C3%A9tica-Ajustable-Recargable-Emergencia/dp/B0HC6WPCP4?psc=1</x:v>
      </x:c>
      <x:c r="M405" s="4" t="str">
        <x:v>B0_84bacc4c6b66_014473</x:v>
      </x:c>
      <x:c r="N405" s="4" t="str">
        <x:v>e2928681598606fda2bbd4229504cf19da6109ca68d8a53aa8d3c808ab38cba4</x:v>
      </x:c>
      <x:c r="O405" s="8"/>
      <x:c r="P405" s="8"/>
      <x:c r="Q405" s="8"/>
      <x:c r="R405" s="8"/>
    </x:row>
    <x:row r="406" ht="90" customHeight="1">
      <x:c r="A406" s="4" t="str">
        <x:v>P402</x:v>
      </x:c>
      <x:c r="B406" s="4" t="str">
        <x:v>Loctite Super Glue-3 Pincel, Pegamento Instantáneo Transparente, 5 g | Secado en 3 s, Resistente a Agua/Golpes/Temperaturas Extremas, Multimaterial, Apto para Lavavajillas, Tapón Antiobstrucción</x:v>
      </x:c>
      <x:c r="C406" s="4" t="str">
        <x:v>透明瞬间胶</x:v>
      </x:c>
      <x:c r="D406" s="4" t="str">
        <x:v>黏合日常材料</x:v>
      </x:c>
      <x:c r="E406" s="4" t="str">
        <x:v>保留</x:v>
      </x:c>
      <x:c r="F406" s="4" t="str"/>
      <x:c r="G406" s="4" t="str">
        <x:v>2548454</x:v>
      </x:c>
      <x:c r="H406" s="4" t="str">
        <x:v>Pegamento instantáneo Tesa</x:v>
      </x:c>
      <x:c r="I406" s="4" t="str">
        <x:v>same_type</x:v>
      </x:c>
      <x:c r="J406" s="4" t="str">
        <x:v>Action瞬间胶为直接同类，lavavajillas只是适用声明而非所售机器</x:v>
      </x:c>
      <x:c r="K406" s="4" t="str">
        <x:v>材料相容及耐候声称未验证</x:v>
      </x:c>
      <x:c r="L406" s="4" t="str">
        <x:v>https://www.amazon.es/Loctite-Glue-3-Pegamento-Instant%C3%A1neo-Transparente/dp/B009681CVS?psc=1</x:v>
      </x:c>
      <x:c r="M406" s="4" t="str">
        <x:v>B0_84bacc4c6b66_012428</x:v>
      </x:c>
      <x:c r="N406" s="4" t="str">
        <x:v>0f561dc6bb82f1af9d307caf2679ac0b1d7affe6beae44f79fb9831a899e25ca</x:v>
      </x:c>
      <x:c r="O406" s="8"/>
      <x:c r="P406" s="8"/>
      <x:c r="Q406" s="8"/>
      <x:c r="R406" s="8"/>
    </x:row>
    <x:row r="407" ht="90" customHeight="1">
      <x:c r="A407" s="4" t="str">
        <x:v>P403</x:v>
      </x:c>
      <x:c r="B407" s="4" t="str">
        <x:v>roborock F25 GT Gen 2 Aspiradora en Seco y Húmedo de 20.000 Pa | Aspiradora-Fregona Sin Cable, Autolimpieza a 90 °C y Secado, Limpieza de Bordes, Diseño Plano de 180°, Compacta (12,5 cm)</x:v>
      </x:c>
      <x:c r="C407" s="4" t="str">
        <x:v>干湿吸尘拖地机</x:v>
      </x:c>
      <x:c r="D407" s="4" t="str">
        <x:v>吸尘与擦洗地面</x:v>
      </x:c>
      <x:c r="E407" s="4" t="str">
        <x:v>保留</x:v>
      </x:c>
      <x:c r="F407" s="4" t="str"/>
      <x:c r="G407" s="4" t="str">
        <x:v>3009191</x:v>
      </x:c>
      <x:c r="H407" s="4" t="str">
        <x:v>Aspiradora para húmedo y seco Kärcher KWD1</x:v>
      </x:c>
      <x:c r="I407" s="4" t="str">
        <x:v>same_type</x:v>
      </x:c>
      <x:c r="J407" s="4" t="str">
        <x:v>Action干湿吸尘器支持家用清洁主体，自清洁功能不意味着扫地机器人</x:v>
      </x:c>
      <x:c r="K407" s="4" t="str">
        <x:v>不由品牌推断导航或无人运行</x:v>
      </x:c>
      <x:c r="L407" s="4" t="str">
        <x:v>https://www.amazon.es/roborock-F25-RT-Aspiradora-Fregona-Autolimpieza/dp/B0DPHT4KB1?psc=1</x:v>
      </x:c>
      <x:c r="M407" s="4" t="str">
        <x:v>B0_84bacc4c6b66_024769</x:v>
      </x:c>
      <x:c r="N407" s="4" t="str">
        <x:v>cc7d31db3004a1f9d9bdb5a444a0ec4acee5324e5495193a8bd27f426e7699b2</x:v>
      </x:c>
      <x:c r="O407" s="8"/>
      <x:c r="P407" s="8"/>
      <x:c r="Q407" s="8"/>
      <x:c r="R407" s="8"/>
    </x:row>
    <x:row r="408" ht="90" customHeight="1">
      <x:c r="A408" s="4" t="str">
        <x:v>P404</x:v>
      </x:c>
      <x:c r="B408" s="4" t="str">
        <x:v>SHAN ZU Juego de Cuchillos de Cocina 3 Piezas, Cuchillo Chef 20cm Profesional</x:v>
      </x:c>
      <x:c r="C408" s="4" t="str">
        <x:v>厨房刀具套装</x:v>
      </x:c>
      <x:c r="D408" s="4" t="str">
        <x:v>切配食材</x:v>
      </x:c>
      <x:c r="E408" s="4" t="str">
        <x:v>保留</x:v>
      </x:c>
      <x:c r="F408" s="4" t="str"/>
      <x:c r="G408" s="4" t="str">
        <x:v>3016464</x:v>
      </x:c>
      <x:c r="H408" s="4" t="str">
        <x:v>Juego de cuchillos de cocina Redstone</x:v>
      </x:c>
      <x:c r="I408" s="4" t="str">
        <x:v>same_type</x:v>
      </x:c>
      <x:c r="J408" s="4" t="str">
        <x:v>Action厨房刀具套装直接对应，Profesional形容不改变日用刀具类型</x:v>
      </x:c>
      <x:c r="K408" s="4" t="str">
        <x:v>钢材和锋利度未验证</x:v>
      </x:c>
      <x:c r="L408" s="4" t="str">
        <x:v>https://www.amazon.es/SHAN-Set-Cuchillos-Cocina-Profesionales-Cuchillo-Chef-Cuchillos-Cocina/dp/B07CLYNWQ8/ref=sr_1_2242?dib=eyJ2IjoiMSJ9.Nq05xiFr9MRakKYVZVN_xZbQCRw-daiaJxLMR50TkppyC1U_NXW7t03R_SGKubE2XJC53qIbYLkPLO-o5sJzrCODATb7SAkUrWeFST6vPmacRQEO2JuBrnWyqa5v-TfZBqks_1T1Z74ixn_mNED-wKlJyOkgg8Lh6c9Ndzw1gAOASAmr7221VjmUSs3nx0uwWTjxu0pEgnBvBJjq88KG4dibVtk23hPwC394lWfVtWZrTmGW2M-cPQ6rF37SboGj0kcWiz9q5kV24RDcQfAD0luJ1nPMberMt95fm2Lrwio.C9xTCEm7AufW2CMxZQnZz6EZ16LxLF75Ap5L3pSgCsg&amp;dib_tag=se&amp;qid=1792598542&amp;s=kitchen&amp;sr=1-2242&amp;srs=88626813031&amp;xpid=CeuYXw3Vdr0Bg</x:v>
      </x:c>
      <x:c r="M408" s="4" t="str">
        <x:v>B0_84bacc4c6b66_017778</x:v>
      </x:c>
      <x:c r="N408" s="4" t="str">
        <x:v>3802b829121083ea4d1c0fefcd086a4e83b6f3f23edd2a1796c374afd178694e</x:v>
      </x:c>
      <x:c r="O408" s="8"/>
      <x:c r="P408" s="8"/>
      <x:c r="Q408" s="8"/>
      <x:c r="R408" s="8"/>
    </x:row>
    <x:row r="409" ht="90" customHeight="1">
      <x:c r="A409" s="4" t="str">
        <x:v>P405</x:v>
      </x:c>
      <x:c r="B409" s="4" t="str">
        <x:v>Qlima - Combustible líquido para estufas Zibro - 20 litros - Calidad A+ - en bidón reciclable PET, programa de fidelidad Qlima</x:v>
      </x:c>
      <x:c r="C409" s="4" t="str">
        <x:v>炉具液体燃料</x:v>
      </x:c>
      <x:c r="D409" s="4" t="str">
        <x:v>供兼容炉具燃烧取暖</x:v>
      </x:c>
      <x:c r="E409" s="4" t="str">
        <x:v>观察</x:v>
      </x:c>
      <x:c r="F409" s="4" t="str">
        <x:v>经营边界未确认</x:v>
      </x:c>
      <x:c r="G409" s="4" t="str"/>
      <x:c r="H409" s="4" t="str"/>
      <x:c r="I409" s="4" t="str">
        <x:v>none</x:v>
      </x:c>
      <x:c r="J409" s="4" t="str">
        <x:v>液体燃料是专用化学耗材，冷却液与洗窗液不是同类</x:v>
      </x:c>
      <x:c r="K409" s="4" t="str">
        <x:v>燃料具体成分和炉型适配未知</x:v>
      </x:c>
      <x:c r="L409" s="4" t="str">
        <x:v>https://www.amazon.es/Qlima-Combustible-reciclable-programa-fidelidad/dp/B0BJFJYQCN?psc=1</x:v>
      </x:c>
      <x:c r="M409" s="4" t="str">
        <x:v>B0_84bacc4c6b66_016592</x:v>
      </x:c>
      <x:c r="N409" s="4" t="str">
        <x:v>f46a6b2c1be001a5fdf934430b029ffb7ef5dee18a11133b7788d996ae8437e0</x:v>
      </x:c>
      <x:c r="O409" s="8"/>
      <x:c r="P409" s="8"/>
      <x:c r="Q409" s="8"/>
      <x:c r="R409" s="8"/>
    </x:row>
    <x:row r="410" ht="90" customHeight="1">
      <x:c r="A410" s="4" t="str">
        <x:v>P406</x:v>
      </x:c>
      <x:c r="B410" s="4" t="str">
        <x:v>Panel Organizador Herramientas Pared, 5 Ranuras Metal Resistente 30x10cm | Incluye tornillos y tacos de expansión, diseño abierto visible, instalación sencilla, acceso rápido a herramientas</x:v>
      </x:c>
      <x:c r="C410" s="4" t="str">
        <x:v>壁挂工具整理架</x:v>
      </x:c>
      <x:c r="D410" s="4" t="str">
        <x:v>集中悬挂工具</x:v>
      </x:c>
      <x:c r="E410" s="4" t="str">
        <x:v>观察</x:v>
      </x:c>
      <x:c r="F410" s="4" t="str">
        <x:v>缺少有效Action参照</x:v>
      </x:c>
      <x:c r="G410" s="4" t="str"/>
      <x:c r="H410" s="4" t="str"/>
      <x:c r="I410" s="4" t="str">
        <x:v>none</x:v>
      </x:c>
      <x:c r="J410" s="4" t="str">
        <x:v>主体为工具支架而非装饰墙板，检索仅共享墙板或整理器词不足</x:v>
      </x:c>
      <x:c r="K410" s="4" t="str">
        <x:v>夹槽和工具尺寸适配未知</x:v>
      </x:c>
      <x:c r="L410" s="4" t="str">
        <x:v>https://www.amazon.es/Organizador-Herramientas-Resistente-instalaci%C3%B3n-herramientas/dp/B0HBR2H8ZP?psc=1</x:v>
      </x:c>
      <x:c r="M410" s="4" t="str">
        <x:v>B0_84bacc4c6b66_014849</x:v>
      </x:c>
      <x:c r="N410" s="4" t="str">
        <x:v>2660e61339dd3ae721a123a95de90d282e277596d3c0f3bbcd5bc8625369f08a</x:v>
      </x:c>
      <x:c r="O410" s="8"/>
      <x:c r="P410" s="8"/>
      <x:c r="Q410" s="8"/>
      <x:c r="R410" s="8"/>
    </x:row>
    <x:row r="411" ht="90" customHeight="1">
      <x:c r="A411" s="4" t="str">
        <x:v>P407</x:v>
      </x:c>
      <x:c r="B411" s="4" t="str">
        <x:v>Panera de Metal con Tapa de Bambú Reversible, 34x19 cm, Blanco Mate | Caja para guardar pan y bollería con ventilación, bolsa de algodón incluida, paneras de cocina modernas</x:v>
      </x:c>
      <x:c r="C411" s="4" t="str">
        <x:v>面包储存盒</x:v>
      </x:c>
      <x:c r="D411" s="4" t="str">
        <x:v>收纳面包糕点</x:v>
      </x:c>
      <x:c r="E411" s="4" t="str">
        <x:v>保留</x:v>
      </x:c>
      <x:c r="F411" s="4" t="str"/>
      <x:c r="G411" s="4" t="str">
        <x:v>3002389</x:v>
      </x:c>
      <x:c r="H411" s="4" t="str">
        <x:v>Recipiente para alimentos Curver</x:v>
      </x:c>
      <x:c r="I411" s="4" t="str">
        <x:v>related_type</x:v>
      </x:c>
      <x:c r="J411" s="4" t="str">
        <x:v>Action食品容器支持具体食品储存类型，但不推定具有本品通风结构</x:v>
      </x:c>
      <x:c r="K411" s="4" t="str">
        <x:v>保鲜效果未实测</x:v>
      </x:c>
      <x:c r="L411" s="4" t="str">
        <x:v>https://www.amazon.es/KOOK-TIME-Reversible-Ventilaci%C3%B3n-Boller%C3%ADa/dp/B0DSJLBXMV?psc=1</x:v>
      </x:c>
      <x:c r="M411" s="4" t="str">
        <x:v>B0_84bacc4c6b66_011190</x:v>
      </x:c>
      <x:c r="N411" s="4" t="str">
        <x:v>3ac92d9ce93a1026c3da612220f8cbc395f6a646f75f68115f44d71079eb7f9b</x:v>
      </x:c>
      <x:c r="O411" s="8"/>
      <x:c r="P411" s="8"/>
      <x:c r="Q411" s="8"/>
      <x:c r="R411" s="8"/>
    </x:row>
    <x:row r="412" ht="90" customHeight="1">
      <x:c r="A412" s="4" t="str">
        <x:v>P408</x:v>
      </x:c>
      <x:c r="B412" s="4" t="str">
        <x:v>AJNZAU 4 Unidades Portavasos Bebida Portavasos Cerveza Festival Nylon Cinta Ancha, Resistente Al Desgaste Para Senderismo, Viajes, Commuting Para Hidratarse (Negro)</x:v>
      </x:c>
      <x:c r="C412" s="4" t="str">
        <x:v>饮料杯携带挂带</x:v>
      </x:c>
      <x:c r="D412" s="4" t="str">
        <x:v>随身携带饮料杯</x:v>
      </x:c>
      <x:c r="E412" s="4" t="str">
        <x:v>观察</x:v>
      </x:c>
      <x:c r="F412" s="4" t="str">
        <x:v>缺少有效Action参照</x:v>
      </x:c>
      <x:c r="G412" s="4" t="str"/>
      <x:c r="H412" s="4" t="str"/>
      <x:c r="I412" s="4" t="str">
        <x:v>none</x:v>
      </x:c>
      <x:c r="J412" s="4" t="str">
        <x:v>标题有宽带及节庆徒步场景，主体是饮料杯携带支具，不是胶带</x:v>
      </x:c>
      <x:c r="K412" s="4" t="str">
        <x:v>固定方式与杯型兼容未知</x:v>
      </x:c>
      <x:c r="L412" s="4" t="str">
        <x:v>https://www.amazon.es/AJNZAU-Portavasos-Resistente-Senderismo-Hidratarse/dp/B0HB9B8QD7?psc=1</x:v>
      </x:c>
      <x:c r="M412" s="4" t="str">
        <x:v>B0_84bacc4c6b66_000314</x:v>
      </x:c>
      <x:c r="N412" s="4" t="str">
        <x:v>ec522561065fc8294ec949a6a293d68d55be97d2522e6351cde603ccaab7bd7a</x:v>
      </x:c>
      <x:c r="O412" s="8"/>
      <x:c r="P412" s="8"/>
      <x:c r="Q412" s="8"/>
      <x:c r="R412" s="8"/>
    </x:row>
    <x:row r="413" ht="90" customHeight="1">
      <x:c r="A413" s="4" t="str">
        <x:v>P409</x:v>
      </x:c>
      <x:c r="B413" s="4" t="str">
        <x:v>BCHNR 2 Fundas de Cojín Calabaza Halloween 45x45 Bordadas Diablo Grande</x:v>
      </x:c>
      <x:c r="C413" s="4" t="str">
        <x:v>万圣节靠垫套</x:v>
      </x:c>
      <x:c r="D413" s="4" t="str">
        <x:v>保护并装饰靠垫</x:v>
      </x:c>
      <x:c r="E413" s="4" t="str">
        <x:v>保留</x:v>
      </x:c>
      <x:c r="F413" s="4" t="str"/>
      <x:c r="G413" s="4" t="str">
        <x:v>3003730</x:v>
      </x:c>
      <x:c r="H413" s="4" t="str">
        <x:v>Funda de cojín</x:v>
      </x:c>
      <x:c r="I413" s="4" t="str">
        <x:v>same_type</x:v>
      </x:c>
      <x:c r="J413" s="4" t="str">
        <x:v>Action靠垫套对应主体</x:v>
      </x:c>
      <x:c r="K413" s="4" t="str">
        <x:v>绣纹和耐洗性未核实</x:v>
      </x:c>
      <x:c r="L413" s="4" t="str">
        <x:v>https://www.amazon.es/BCHNR-Fundas-Calabaza-Halloween-Bordadas/dp/B0HBJL4TX6?psc=1</x:v>
      </x:c>
      <x:c r="M413" s="4" t="str">
        <x:v>B0_84bacc4c6b66_002106</x:v>
      </x:c>
      <x:c r="N413" s="4" t="str">
        <x:v>b8af5245f0ab4c9956f4af386f1d14b646bbc440535362e898fa1fb548aa6687</x:v>
      </x:c>
      <x:c r="O413" s="8"/>
      <x:c r="P413" s="8"/>
      <x:c r="Q413" s="8"/>
      <x:c r="R413" s="8"/>
    </x:row>
    <x:row r="414" ht="90" customHeight="1">
      <x:c r="A414" s="4" t="str">
        <x:v>P410</x:v>
      </x:c>
      <x:c r="B414" s="4" t="str">
        <x:v>H2O Botella Térmica de Agua Acero Inoxidable 500ml sin BPA | Mantiene Bebidas Calientes 12 Horas o Frías hasta 24, con Tapa Segura Antifugas, Alternativa Ecológica al Plástico, Negro</x:v>
      </x:c>
      <x:c r="C414" s="4" t="str">
        <x:v>保温水瓶</x:v>
      </x:c>
      <x:c r="D414" s="4" t="str">
        <x:v>携带饮品并保温</x:v>
      </x:c>
      <x:c r="E414" s="4" t="str">
        <x:v>保留</x:v>
      </x:c>
      <x:c r="F414" s="4" t="str"/>
      <x:c r="G414" s="4" t="str">
        <x:v>3218544</x:v>
      </x:c>
      <x:c r="H414" s="4" t="str">
        <x:v>Botella térmica</x:v>
      </x:c>
      <x:c r="I414" s="4" t="str">
        <x:v>same_type</x:v>
      </x:c>
      <x:c r="J414" s="4" t="str">
        <x:v>Action保温瓶直接对应</x:v>
      </x:c>
      <x:c r="K414" s="4" t="str">
        <x:v>冷热保持时长为标题声称</x:v>
      </x:c>
      <x:c r="L414" s="4" t="str">
        <x:v>https://www.amazon.es/Inoxidable-Calientes-Antifugas-Alternativa-Ecol%C3%B3gica/dp/B0DLFQSK4M?psc=1</x:v>
      </x:c>
      <x:c r="M414" s="4" t="str">
        <x:v>B0_84bacc4c6b66_010289</x:v>
      </x:c>
      <x:c r="N414" s="4" t="str">
        <x:v>8325866a7b80f6e0f59b3901138ca2b12367b88ddb494163eadfc9e7b074dd0b</x:v>
      </x:c>
      <x:c r="O414" s="8"/>
      <x:c r="P414" s="8"/>
      <x:c r="Q414" s="8"/>
      <x:c r="R414" s="8"/>
    </x:row>
    <x:row r="415" ht="90" customHeight="1">
      <x:c r="A415" s="4" t="str">
        <x:v>P411</x:v>
      </x:c>
      <x:c r="B415" s="4" t="str">
        <x:v>ALLECIN 24 Valores Kit Surtido de Fusibles de Vidrio de Fusión Rápida 250V F 0,5A 1A 2A 3A 4A 5A 6A 7A 8A 10A 15A 20A 5x20MM 6x30MM 0,5 1 2 3 4 5 6 7 8 10 15 20 A Fusible de Cristal Glass Fuse</x:v>
      </x:c>
      <x:c r="C415" s="4" t="str">
        <x:v>玻璃快断保险丝套装</x:v>
      </x:c>
      <x:c r="D415" s="4" t="str">
        <x:v>电路过流保护</x:v>
      </x:c>
      <x:c r="E415" s="4" t="str">
        <x:v>观察</x:v>
      </x:c>
      <x:c r="F415" s="4" t="str">
        <x:v>专用或安装配件</x:v>
      </x:c>
      <x:c r="G415" s="4" t="str"/>
      <x:c r="H415" s="4" t="str"/>
      <x:c r="I415" s="4" t="str">
        <x:v>none</x:v>
      </x:c>
      <x:c r="J415" s="4" t="str">
        <x:v>主体是电路保护构件，玻璃杯等材料词匹配无关</x:v>
      </x:c>
      <x:c r="K415" s="4" t="str">
        <x:v>额定规格与电路适配需确认</x:v>
      </x:c>
      <x:c r="L415" s="4" t="str">
        <x:v>https://www.amazon.es/ALLECIN-Valores-Kit-Surtido-Fusibles/dp/B0C1V95RB8?psc=1</x:v>
      </x:c>
      <x:c r="M415" s="4" t="str">
        <x:v>B0_84bacc4c6b66_000340</x:v>
      </x:c>
      <x:c r="N415" s="4" t="str">
        <x:v>981b2f4bd66fdb502fb340bf521c2fe5c0e9e12fa86f574b1d84569c5c71e3f0</x:v>
      </x:c>
      <x:c r="O415" s="8"/>
      <x:c r="P415" s="8"/>
      <x:c r="Q415" s="8"/>
      <x:c r="R415" s="8"/>
    </x:row>
    <x:row r="416" ht="90" customHeight="1">
      <x:c r="A416" s="4" t="str">
        <x:v>P412</x:v>
      </x:c>
      <x:c r="B416" s="4" t="str">
        <x:v>Vaso De Whisky Glencairn En Caja De Regalo De Cartón</x:v>
      </x:c>
      <x:c r="C416" s="4" t="str">
        <x:v>威士忌杯</x:v>
      </x:c>
      <x:c r="D416" s="4" t="str">
        <x:v>饮用或品鉴酒饮</x:v>
      </x:c>
      <x:c r="E416" s="4" t="str">
        <x:v>保留</x:v>
      </x:c>
      <x:c r="F416" s="4" t="str"/>
      <x:c r="G416" s="4" t="str">
        <x:v>3002248</x:v>
      </x:c>
      <x:c r="H416" s="4" t="str">
        <x:v>Vaso de whisky/agua</x:v>
      </x:c>
      <x:c r="I416" s="4" t="str">
        <x:v>same_type</x:v>
      </x:c>
      <x:c r="J416" s="4" t="str">
        <x:v>Action威士忌杯对应销售主体，礼盒为包装</x:v>
      </x:c>
      <x:c r="K416" s="4" t="str">
        <x:v>杯型容量未说明</x:v>
      </x:c>
      <x:c r="L416" s="4" t="str">
        <x:v>https://www.amazon.es/GLENCAIRN-Vaso-whisky-caja-regalo/dp/B00DTS9PGK/ref=sr_1_4177?dib=eyJ2IjoiMSJ9.8d0bl9YoPjbXPVZbVZ9l0T09OucYX1fVk4rrw0CuQMwD0hW0e6GpzvrlgeN1C7O0RmBQlQX0ZKyQGC7Hw5yWB92t6amQFTDeO41_X7wMNU7bBa-Vy7aykYQC23EALbO6UBK1vzn2wYtnBOHx5cVDs2HB9dvR_bEMdoan-PxOxnY66w9fMrqRuj6YVQpvjMzIS30gpVlbgiZxNI964BoktvprjnGAF2eccmtnCav2-ZFZHzm14YYaa7heYxfbG7TffIT2Wix8L_42fcs_jlsmCoaB14YRvQoC7l8Q9EUSvr8.o_zCaNOZqotmgyLS6vGVl-ticLjF2Qitp979DeCLgPo&amp;dib_tag=se&amp;qid=1792653216&amp;s=kitchen&amp;sr=1-4177&amp;srs=88626813031&amp;xpid=qpnO31ULD-dQ4</x:v>
      </x:c>
      <x:c r="M416" s="4" t="str">
        <x:v>B0_84bacc4c6b66_008197</x:v>
      </x:c>
      <x:c r="N416" s="4" t="str">
        <x:v>c013a5bf65f34a212b943c92bd3ec2947e662419007babd4f7068cd66f2fdb35</x:v>
      </x:c>
      <x:c r="O416" s="8"/>
      <x:c r="P416" s="8"/>
      <x:c r="Q416" s="8"/>
      <x:c r="R416" s="8"/>
    </x:row>
    <x:row r="417" ht="90" customHeight="1">
      <x:c r="A417" s="4" t="str">
        <x:v>P413</x:v>
      </x:c>
      <x:c r="B417" s="4" t="str">
        <x:v>Pnpaea Tostadora de Frutos Secos de,1500/2200 W/3000 W, Temperatura Ajustable de 0 a 350 °C,tostadora Comercial de café en Grano, para supermercados, cafeterías y cantinas Type20</x:v>
      </x:c>
      <x:c r="C417" s="4" t="str">
        <x:v>坚果与咖啡豆烘烤设备</x:v>
      </x:c>
      <x:c r="D417" s="4" t="str">
        <x:v>批量烘烤坚果或咖啡豆</x:v>
      </x:c>
      <x:c r="E417" s="4" t="str">
        <x:v>观察</x:v>
      </x:c>
      <x:c r="F417" s="4" t="str">
        <x:v>经营边界未确认</x:v>
      </x:c>
      <x:c r="G417" s="4" t="str"/>
      <x:c r="H417" s="4" t="str"/>
      <x:c r="I417" s="4" t="str">
        <x:v>none</x:v>
      </x:c>
      <x:c r="J417" s="4" t="str">
        <x:v>商业场景和多功率声称提示专业边界，但未符合冻结的明确工业整机证明；坚果食品不是设备参照</x:v>
      </x:c>
      <x:c r="K417" s="4" t="str">
        <x:v>实际规格选项与设备规模不明</x:v>
      </x:c>
      <x:c r="L417" s="4" t="str">
        <x:v>https://www.amazon.es/Pnpaea-Tostadora-Temperatura-supermercados-cafeter%C3%ADas/dp/B0H9RZ5BVD?psc=1</x:v>
      </x:c>
      <x:c r="M417" s="4" t="str">
        <x:v>B0_84bacc4c6b66_016001</x:v>
      </x:c>
      <x:c r="N417" s="4" t="str">
        <x:v>d64fa2e1fcb52dad53cd0c3fe33dac79e081e778149cb2685e04b0d3ae042754</x:v>
      </x:c>
      <x:c r="O417" s="8"/>
      <x:c r="P417" s="8"/>
      <x:c r="Q417" s="8"/>
      <x:c r="R417" s="8"/>
    </x:row>
    <x:row r="418" ht="90" customHeight="1">
      <x:c r="A418" s="4" t="str">
        <x:v>P414</x:v>
      </x:c>
      <x:c r="B418" s="4" t="str">
        <x:v>Philips Filtro purificador de aire HEPA 600 NanoProtect, filtro original | HEPA NanoProtect, 12 meses de uso, filtro original para AC0650, AC0651 (FY0611/30)</x:v>
      </x:c>
      <x:c r="C418" s="4" t="str">
        <x:v>空气净化器替换滤芯</x:v>
      </x:c>
      <x:c r="D418" s="4" t="str">
        <x:v>过滤兼容净化器中的空气</x:v>
      </x:c>
      <x:c r="E418" s="4" t="str">
        <x:v>观察</x:v>
      </x:c>
      <x:c r="F418" s="4" t="str">
        <x:v>专用或安装配件</x:v>
      </x:c>
      <x:c r="G418" s="4" t="str"/>
      <x:c r="H418" s="4" t="str"/>
      <x:c r="I418" s="4" t="str">
        <x:v>none</x:v>
      </x:c>
      <x:c r="J418" s="4" t="str">
        <x:v>HEPA滤件限定型号，不是空气净化器整机，水滤件不提供同类证明</x:v>
      </x:c>
      <x:c r="K418" s="4" t="str">
        <x:v>兼容性与寿命需核对</x:v>
      </x:c>
      <x:c r="L418" s="4" t="str">
        <x:v>https://www.amazon.es/Repuesto-Purificador-AC0650-NanoProtect-Indicador/dp/B0BX741G4P?psc=1</x:v>
      </x:c>
      <x:c r="M418" s="4" t="str">
        <x:v>B0_84bacc4c6b66_017213</x:v>
      </x:c>
      <x:c r="N418" s="4" t="str">
        <x:v>caa1a518b01232c677eebf3e1a9c9df9ddb0c82f6deeb9114e43924bb63088ea</x:v>
      </x:c>
      <x:c r="O418" s="8"/>
      <x:c r="P418" s="8"/>
      <x:c r="Q418" s="8"/>
      <x:c r="R418" s="8"/>
    </x:row>
    <x:row r="419" ht="90" customHeight="1">
      <x:c r="A419" s="4" t="str">
        <x:v>P415</x:v>
      </x:c>
      <x:c r="B419" s="4" t="str">
        <x:v>EN-HYPEN ENHYPEN THE SIN : BLISS [Photobook Ver.] 8º mini álbum, Take 2 Ver.</x:v>
      </x:c>
      <x:c r="C419" s="4" t="str">
        <x:v>音乐专辑写真版本</x:v>
      </x:c>
      <x:c r="D419" s="4" t="str">
        <x:v>收藏音乐及相关写真内容</x:v>
      </x:c>
      <x:c r="E419" s="4" t="str">
        <x:v>观察</x:v>
      </x:c>
      <x:c r="F419" s="4" t="str">
        <x:v>经营边界未确认</x:v>
      </x:c>
      <x:c r="G419" s="4" t="str"/>
      <x:c r="H419" s="4" t="str"/>
      <x:c r="I419" s="4" t="str">
        <x:v>none</x:v>
      </x:c>
      <x:c r="J419" s="4" t="str">
        <x:v>标题为乐队专辑版本，不因Bliss词匹配护肤品牌；媒体收藏品经营边界未确认</x:v>
      </x:c>
      <x:c r="K419" s="4" t="str">
        <x:v>实体介质及附赠内容未写全</x:v>
      </x:c>
      <x:c r="L419" s="4" t="str">
        <x:v>https://www.amazon.es/EN-HYPEN-ENHYPEN-SIN-BLISS-Photobook/dp/B0H93KYCW1?psc=1</x:v>
      </x:c>
      <x:c r="M419" s="4" t="str">
        <x:v>B0_84bacc4c6b66_006587</x:v>
      </x:c>
      <x:c r="N419" s="4" t="str">
        <x:v>29af50e63f1fa9abf6afee2b41e29c093913e8c01d9dec63db120297ed3df66c</x:v>
      </x:c>
      <x:c r="O419" s="8"/>
      <x:c r="P419" s="8"/>
      <x:c r="Q419" s="8"/>
      <x:c r="R419" s="8"/>
    </x:row>
    <x:row r="420" ht="90" customHeight="1">
      <x:c r="A420" s="4" t="str">
        <x:v>P416</x:v>
      </x:c>
      <x:c r="B420" s="4" t="str">
        <x:v>Lámpara de Lava de Disney Campanilla, Lámpara Líquida de Ambiente, 35 cm</x:v>
      </x:c>
      <x:c r="C420" s="4" t="str">
        <x:v>熔岩氛围灯</x:v>
      </x:c>
      <x:c r="D420" s="4" t="str">
        <x:v>室内装饰照明</x:v>
      </x:c>
      <x:c r="E420" s="4" t="str">
        <x:v>保留</x:v>
      </x:c>
      <x:c r="F420" s="4" t="str"/>
      <x:c r="G420" s="4" t="str">
        <x:v>3218443</x:v>
      </x:c>
      <x:c r="H420" s="4" t="str">
        <x:v>Lámpara disco</x:v>
      </x:c>
      <x:c r="I420" s="4" t="str">
        <x:v>related_type</x:v>
      </x:c>
      <x:c r="J420" s="4" t="str">
        <x:v>Action迪斯科灯提供装饰氛围灯的相关类型，不推定同为液体结构</x:v>
      </x:c>
      <x:c r="K420" s="4" t="str">
        <x:v>实际光效和供电未说明</x:v>
      </x:c>
      <x:c r="L420" s="4" t="str">
        <x:v>https://www.amazon.es/L%C3%A1mpara-Disney-Campanilla-L%C3%ADquida-Ambiente/dp/B09RKTRKTH/ref=sr_1_3912?dib=eyJ2IjoiMSJ9.glC6hKEHMxCVuOUrQC1yWUUi5mh95Z6gb35jZB3XM5ZzX2WrQsvwb3e08RE9E3VkBjQJlWuSnMqb9Zu7_GRBaDb8jLhbKXPmkmFPWlFcEQplTJvOkANHqeH2xbigzc6K7_PqkjTxXY0XPty7F1JjDhP2k9ejzAfGqxPxoCyJA8DSjBBLTFY8ZfZiOwWJMR9nKW8ZxWkjk78kgs9AfI4W48Bey7sBuKLc4GyLgpbJjqx5WG9sUM5dv-tNJJtYVPnojzt8ifJmarA4wgP68yQVMtL_1ri6C4QxarjSyU7Nb6E.CCL0UdLzolMyRXf0lXY8Dd8iIIi5Dlf7J0sLC-NqAOc&amp;dib_tag=se&amp;qid=1792652775&amp;s=kitchen&amp;sr=1-3912&amp;srs=88626813031&amp;xpid=qpnO31ULD-dQ4</x:v>
      </x:c>
      <x:c r="M420" s="4" t="str">
        <x:v>B0_84bacc4c6b66_011641</x:v>
      </x:c>
      <x:c r="N420" s="4" t="str">
        <x:v>7bf183c1a0930e3da3eb0cd19fbf6b2c21670320510ee382d75e82837197e279</x:v>
      </x:c>
      <x:c r="O420" s="8"/>
      <x:c r="P420" s="8"/>
      <x:c r="Q420" s="8"/>
      <x:c r="R420" s="8"/>
    </x:row>
    <x:row r="421" ht="90" customHeight="1">
      <x:c r="A421" s="4" t="str">
        <x:v>P417</x:v>
      </x:c>
      <x:c r="B421" s="4" t="str">
        <x:v>LXTaoler Hervidor de agua con cuello de cisne con regulación de temperatura | Gooseneck Kettle con función de mantenimiento del calor y funcionamiento silencioso, jarra para café y té</x:v>
      </x:c>
      <x:c r="C421" s="4" t="str">
        <x:v>鹅颈温控水壶</x:v>
      </x:c>
      <x:c r="D421" s="4" t="str">
        <x:v>加热并精细倾倒冲泡用水</x:v>
      </x:c>
      <x:c r="E421" s="4" t="str">
        <x:v>观察</x:v>
      </x:c>
      <x:c r="F421" s="4" t="str">
        <x:v>经营边界未确认</x:v>
      </x:c>
      <x:c r="G421" s="4" t="str">
        <x:v>3224856</x:v>
      </x:c>
      <x:c r="H421" s="4" t="str">
        <x:v>Hervidor de agua Tristar</x:v>
      </x:c>
      <x:c r="I421" s="4" t="str">
        <x:v>same_type</x:v>
      </x:c>
      <x:c r="J421" s="4" t="str">
        <x:v>Action水壶支持同类主体，电热小家电仍保留边界复核</x:v>
      </x:c>
      <x:c r="K421" s="4" t="str">
        <x:v>控温精度和材质未说明</x:v>
      </x:c>
      <x:c r="L421" s="4" t="str">
        <x:v>https://www.amazon.es/LXTaoler-Hervidor-cuello-regulaci%C3%B3n-temperatura/dp/B0DRHYBDCT?psc=1</x:v>
      </x:c>
      <x:c r="M421" s="4" t="str">
        <x:v>B0_84bacc4c6b66_011966</x:v>
      </x:c>
      <x:c r="N421" s="4" t="str">
        <x:v>f1c1d61283606dac2aa5b8c621066cb673a6c72da0a2be74ec89ccb36249aaea</x:v>
      </x:c>
      <x:c r="O421" s="8"/>
      <x:c r="P421" s="8"/>
      <x:c r="Q421" s="8"/>
      <x:c r="R421" s="8"/>
    </x:row>
    <x:row r="422" ht="90" customHeight="1">
      <x:c r="A422" s="4" t="str">
        <x:v>P418</x:v>
      </x:c>
      <x:c r="B422" s="4" t="str">
        <x:v>VASAGLE Libreria Estanteria sin Herramientas, estanteria libros, 5 Niveles</x:v>
      </x:c>
      <x:c r="C422" s="4" t="str">
        <x:v>五层书架</x:v>
      </x:c>
      <x:c r="D422" s="4" t="str">
        <x:v>收纳图书</x:v>
      </x:c>
      <x:c r="E422" s="4" t="str">
        <x:v>观察</x:v>
      </x:c>
      <x:c r="F422" s="4" t="str">
        <x:v>经营边界未确认</x:v>
      </x:c>
      <x:c r="G422" s="4" t="str">
        <x:v>3206697</x:v>
      </x:c>
      <x:c r="H422" s="4" t="str">
        <x:v>Estantería de metal</x:v>
      </x:c>
      <x:c r="I422" s="4" t="str">
        <x:v>related_type</x:v>
      </x:c>
      <x:c r="J422" s="4" t="str">
        <x:v>Action置物架是相关完整家具参照，不以书籍类目替代书架主体</x:v>
      </x:c>
      <x:c r="K422" s="4" t="str">
        <x:v>尺寸承载未知</x:v>
      </x:c>
      <x:c r="L422" s="4" t="str">
        <x:v>https://www.amazon.es/VASAGLE-Herramientas-Estanter%C3%ADa-Almacenamiento-LLS165K01/dp/B0F329M63D/ref=sr_1_3637?dib=eyJ2IjoiMSJ9.eppZUaLYPCu65J0fuIawb6-06rko15Ga3xRDofFo7aYmK31corf2wDORlRUF8ixoN0rQshYg8fNTxbHhZlVKOI-c_T2kv2cbc3w5sC3m2cb9wa0h5xlgM8L-kqC3Mklg3j-1W42jTVckKiuGf2iBVryNEOx9BMhL3cu1lU67HW0iNCeAaUMJ0EwOLBxBtP7dmG9aMolah5z3LnvwSpuu3Y0ILYRVNktGqF0mhZnnbOxhxKZFdwO0kQBrKnLvbSUquE-Fe9aFkc-OyZiJ0vjDe2Un_qJnrqqCIoDb6P1ysEo.kRKG9BIYmTzVoRj2R7uUfFwDkFtvxaYi4Z3xExJglkk&amp;dib_tag=se&amp;qid=1792600111&amp;s=kitchen&amp;sr=1-3637&amp;srs=88626813031&amp;xpid=CeuYXw3Vdr0Bg</x:v>
      </x:c>
      <x:c r="M422" s="4" t="str">
        <x:v>B0_84bacc4c6b66_020889</x:v>
      </x:c>
      <x:c r="N422" s="4" t="str">
        <x:v>0a529dce46e419b701bd5c27ea8fe7b2407ea2d7b9c42bf8a17f7e1f5f0b63a3</x:v>
      </x:c>
      <x:c r="O422" s="8"/>
      <x:c r="P422" s="8"/>
      <x:c r="Q422" s="8"/>
      <x:c r="R422" s="8"/>
    </x:row>
    <x:row r="423" ht="90" customHeight="1">
      <x:c r="A423" s="4" t="str">
        <x:v>P419</x:v>
      </x:c>
      <x:c r="B423" s="4" t="str">
        <x:v>Aogled Led Espejo Luz Baño 10W 820LM 60CM 230V 4000K,Lámpara de 3 en 1,Diseño Delgado,Sin Parpadeo,Espejo No Regulable Frente/Gabinete/Iluminación de Pared Neutro Blanco</x:v>
      </x:c>
      <x:c r="C423" s="4" t="str">
        <x:v>浴室镜前LED灯</x:v>
      </x:c>
      <x:c r="D423" s="4" t="str">
        <x:v>照亮镜前区域</x:v>
      </x:c>
      <x:c r="E423" s="4" t="str">
        <x:v>观察</x:v>
      </x:c>
      <x:c r="F423" s="4" t="str">
        <x:v>专用或安装配件</x:v>
      </x:c>
      <x:c r="G423" s="4" t="str">
        <x:v>3016733</x:v>
      </x:c>
      <x:c r="H423" s="4" t="str">
        <x:v>Aplique con luz LED</x:v>
      </x:c>
      <x:c r="I423" s="4" t="str">
        <x:v>related_type</x:v>
      </x:c>
      <x:c r="J423" s="4" t="str">
        <x:v>标题实际为230V镜前照明灯，镜子本体不是同类参照</x:v>
      </x:c>
      <x:c r="K423" s="4" t="str">
        <x:v>固定和接线要求未知</x:v>
      </x:c>
      <x:c r="L423" s="4" t="str">
        <x:v>https://www.amazon.es/Aogled-L%C3%A1mpara-Inoxidable-Parpadeo-Blanco-Iluminaci%C3%B3n/dp/B07TDCFDTC?psc=1</x:v>
      </x:c>
      <x:c r="M423" s="4" t="str">
        <x:v>B0_84bacc4c6b66_001650</x:v>
      </x:c>
      <x:c r="N423" s="4" t="str">
        <x:v>58d8e5806c24d58720e193cbfbbb3ea3ab817c0a0f00fbdb8c65a3211d4abf39</x:v>
      </x:c>
      <x:c r="O423" s="8"/>
      <x:c r="P423" s="8"/>
      <x:c r="Q423" s="8"/>
      <x:c r="R423" s="8"/>
    </x:row>
    <x:row r="424" ht="90" customHeight="1">
      <x:c r="A424" s="4" t="str">
        <x:v>P420</x:v>
      </x:c>
      <x:c r="B424" s="4" t="str">
        <x:v>40 Piezas Remaches Punk Cónicos de Aleación Plata 21mm para Cuero | Fácil Instalación, Bordes Suaves y Brillo Metálico, Diy, Disfraces de Escenario, Bolsos y Tela</x:v>
      </x:c>
      <x:c r="C424" s="4" t="str">
        <x:v>锥形装饰铆钉</x:v>
      </x:c>
      <x:c r="D424" s="4" t="str">
        <x:v>装饰或连接皮革织物</x:v>
      </x:c>
      <x:c r="E424" s="4" t="str">
        <x:v>观察</x:v>
      </x:c>
      <x:c r="F424" s="4" t="str">
        <x:v>缺少有效Action参照</x:v>
      </x:c>
      <x:c r="G424" s="4" t="str"/>
      <x:c r="H424" s="4" t="str"/>
      <x:c r="I424" s="4" t="str">
        <x:v>none</x:v>
      </x:c>
      <x:c r="J424" s="4" t="str">
        <x:v>主体为手工服饰铆钉，不是皮包或安装整套设备</x:v>
      </x:c>
      <x:c r="K424" s="4" t="str">
        <x:v>固定方法与厚度兼容未知</x:v>
      </x:c>
      <x:c r="L424" s="4" t="str">
        <x:v>https://www.amazon.es/Piezas-Remaches-C%C3%B3nicos-Aleaci%C3%B3n-Plata/dp/B0HHZ6HFWR?psc=1</x:v>
      </x:c>
      <x:c r="M424" s="4" t="str">
        <x:v>B0_84bacc4c6b66_015831</x:v>
      </x:c>
      <x:c r="N424" s="4" t="str">
        <x:v>f7798c7302d7950c880823e38dbb142176d4569454484623f4a3fd3efb42b10b</x:v>
      </x:c>
      <x:c r="O424" s="8"/>
      <x:c r="P424" s="8"/>
      <x:c r="Q424" s="8"/>
      <x:c r="R424" s="8"/>
    </x:row>
    <x:row r="425" ht="90" customHeight="1">
      <x:c r="A425" s="4" t="str">
        <x:v>P421</x:v>
      </x:c>
      <x:c r="B425" s="4" t="str">
        <x:v>Lictin 4 Pack Cápsulas Filtros de Café Recargable Reutilizable | para Cafetera Dolce Gusto Resistente Más de 200 Usos de Sustitucion de Cápsula, Color Marrón</x:v>
      </x:c>
      <x:c r="C425" s="4" t="str">
        <x:v>可重复填装咖啡胶囊壳</x:v>
      </x:c>
      <x:c r="D425" s="4" t="str">
        <x:v>在兼容咖啡机中装填咖啡</x:v>
      </x:c>
      <x:c r="E425" s="4" t="str">
        <x:v>观察</x:v>
      </x:c>
      <x:c r="F425" s="4" t="str">
        <x:v>专用或安装配件</x:v>
      </x:c>
      <x:c r="G425" s="4" t="str"/>
      <x:c r="H425" s="4" t="str"/>
      <x:c r="I425" s="4" t="str">
        <x:v>none</x:v>
      </x:c>
      <x:c r="J425" s="4" t="str">
        <x:v>标题卖可复用胶囊滤壳，已装咖啡的消耗胶囊不是同类完整参照</x:v>
      </x:c>
      <x:c r="K425" s="4" t="str">
        <x:v>咖啡机接口及过滤表现待核对</x:v>
      </x:c>
      <x:c r="L425" s="4" t="str">
        <x:v>https://www.amazon.es/Lictin-Recargable-Reutilizable-Resistente-Sustitucion/dp/B071RG28LY?psc=1</x:v>
      </x:c>
      <x:c r="M425" s="4" t="str">
        <x:v>B0_84bacc4c6b66_012195</x:v>
      </x:c>
      <x:c r="N425" s="4" t="str">
        <x:v>35eade32f4643fae7d161df1fc40735fe91145ade0c08841657d4a0a80c81d92</x:v>
      </x:c>
      <x:c r="O425" s="8"/>
      <x:c r="P425" s="8"/>
      <x:c r="Q425" s="8"/>
      <x:c r="R425" s="8"/>
    </x:row>
    <x:row r="426" ht="90" customHeight="1">
      <x:c r="A426" s="4" t="str">
        <x:v>P422</x:v>
      </x:c>
      <x:c r="B426" s="4" t="str">
        <x:v>Shadowhawk 365nm Linterna Ultravioleta Con Lente De Filtro-30W De 4 Núcleos | Linterna UV Potente Recargable luz negra para la detección de orina de mascotas/curado de resina/rocas/escorpión,Pantalla LCD</x:v>
      </x:c>
      <x:c r="C426" s="4" t="str">
        <x:v>紫外手电</x:v>
      </x:c>
      <x:c r="D426" s="4" t="str">
        <x:v>检测荧光或照射特定材料</x:v>
      </x:c>
      <x:c r="E426" s="4" t="str">
        <x:v>保留</x:v>
      </x:c>
      <x:c r="F426" s="4" t="str"/>
      <x:c r="G426" s="4" t="str">
        <x:v>3210423</x:v>
      </x:c>
      <x:c r="H426" s="4" t="str">
        <x:v>Linterna recargable</x:v>
      </x:c>
      <x:c r="I426" s="4" t="str">
        <x:v>related_type</x:v>
      </x:c>
      <x:c r="J426" s="4" t="str">
        <x:v>Action充电手电提供便携灯具相关类型，紫外检测用途只由本品标题支持，不声称参照具有UV功能</x:v>
      </x:c>
      <x:c r="K426" s="4" t="str">
        <x:v>紫外防护和波长功率未验证</x:v>
      </x:c>
      <x:c r="L426" s="4" t="str">
        <x:v>https://www.amazon.es/Shadowhawk-365nm-Linterna-Ultravioleta-Filtro/dp/B0GCJVSFV5?psc=1</x:v>
      </x:c>
      <x:c r="M426" s="4" t="str">
        <x:v>B0_84bacc4c6b66_018532</x:v>
      </x:c>
      <x:c r="N426" s="4" t="str">
        <x:v>6e63f293d9273d765add08a2de9099392d75370792cd3a799b5c3de5cf2c9a0c</x:v>
      </x:c>
      <x:c r="O426" s="8"/>
      <x:c r="P426" s="8"/>
      <x:c r="Q426" s="8"/>
      <x:c r="R426" s="8"/>
    </x:row>
    <x:row r="427" ht="90" customHeight="1">
      <x:c r="A427" s="4" t="str">
        <x:v>P423</x:v>
      </x:c>
      <x:c r="B427" s="4" t="str">
        <x:v>Interdruk - Rollos de papel crepé para niños, bricolaje y decoraciones - Paquete de 10 rollos (50 cm x 200 cm, 28 g/m2) - 10 colores surtidos</x:v>
      </x:c>
      <x:c r="C427" s="4" t="str">
        <x:v>彩色皱纹纸卷</x:v>
      </x:c>
      <x:c r="D427" s="4" t="str">
        <x:v>儿童手工和装饰制作</x:v>
      </x:c>
      <x:c r="E427" s="4" t="str">
        <x:v>保留</x:v>
      </x:c>
      <x:c r="F427" s="4" t="str"/>
      <x:c r="G427" s="4" t="str">
        <x:v>2558513</x:v>
      </x:c>
      <x:c r="H427" s="4" t="str">
        <x:v>Papel crepe</x:v>
      </x:c>
      <x:c r="I427" s="4" t="str">
        <x:v>same_type</x:v>
      </x:c>
      <x:c r="J427" s="4" t="str">
        <x:v>Action皱纹纸对应主体</x:v>
      </x:c>
      <x:c r="K427" s="4" t="str">
        <x:v>耐湿等性能未知</x:v>
      </x:c>
      <x:c r="L427" s="4" t="str">
        <x:v>https://www.amazon.es/Interdruk-bricolaje-decoraciones-Paquete-surtidos/dp/B0C9XBT2CF?psc=1</x:v>
      </x:c>
      <x:c r="M427" s="4" t="str">
        <x:v>B0_84bacc4c6b66_010352</x:v>
      </x:c>
      <x:c r="N427" s="4" t="str">
        <x:v>6641e355ef3b136f3cdd4f7b32af7e4a7e35b8453d088a7df82bd56f439e0af7</x:v>
      </x:c>
      <x:c r="O427" s="8"/>
      <x:c r="P427" s="8"/>
      <x:c r="Q427" s="8"/>
      <x:c r="R427" s="8"/>
    </x:row>
    <x:row r="428" ht="90" customHeight="1">
      <x:c r="A428" s="4" t="str">
        <x:v>P424</x:v>
      </x:c>
      <x:c r="B428" s="4" t="str">
        <x:v>Paquete de 50 tensores para toldos con bola – Pulpos elásticos y cuerda elástica negra para lonas, tiendas y tarps. Incluye tensores para lona piscina y bucles de cuerda elástica con bola de plástico.</x:v>
      </x:c>
      <x:c r="C428" s="4" t="str">
        <x:v>球头弹力绑绳</x:v>
      </x:c>
      <x:c r="D428" s="4" t="str">
        <x:v>固定篷布或帐篷边缘</x:v>
      </x:c>
      <x:c r="E428" s="4" t="str">
        <x:v>保留</x:v>
      </x:c>
      <x:c r="F428" s="4" t="str"/>
      <x:c r="G428" s="4" t="str">
        <x:v>3016274</x:v>
      </x:c>
      <x:c r="H428" s="4" t="str">
        <x:v>Cuerdas elásticas con ganchos</x:v>
      </x:c>
      <x:c r="I428" s="4" t="str">
        <x:v>related_type</x:v>
      </x:c>
      <x:c r="J428" s="4" t="str">
        <x:v>Action带钩弹力绳支持弹性固定的相关类型，不混淆球头与钩头接口</x:v>
      </x:c>
      <x:c r="K428" s="4" t="str">
        <x:v>拉伸和承载未知</x:v>
      </x:c>
      <x:c r="L428" s="4" t="str">
        <x:v>https://www.amazon.es/Paquete-tensores-para-toldos-bola/dp/B0D97G9RTD?psc=1</x:v>
      </x:c>
      <x:c r="M428" s="4" t="str">
        <x:v>B0_84bacc4c6b66_015378</x:v>
      </x:c>
      <x:c r="N428" s="4" t="str">
        <x:v>e55b59dd731854db8978430a324c484a7f0db82989f6c380d43a587213b06c59</x:v>
      </x:c>
      <x:c r="O428" s="8"/>
      <x:c r="P428" s="8"/>
      <x:c r="Q428" s="8"/>
      <x:c r="R428" s="8"/>
    </x:row>
    <x:row r="429" ht="90" customHeight="1">
      <x:c r="A429" s="4" t="str">
        <x:v>P425</x:v>
      </x:c>
      <x:c r="B429" s="4" t="str">
        <x:v>suptek - Estantería de Pared Multimedia, 3 estantes flotantes con Estante de Vidrio Templado Reforzado para Reproductor de DVD, Cajas, Consolas de Juegos, Accesorios de TV, Color Negro y 1+2 estantes</x:v>
      </x:c>
      <x:c r="C429" s="4" t="str">
        <x:v>壁挂影音置物架</x:v>
      </x:c>
      <x:c r="D429" s="4" t="str">
        <x:v>承放播放器或游戏机</x:v>
      </x:c>
      <x:c r="E429" s="4" t="str">
        <x:v>观察</x:v>
      </x:c>
      <x:c r="F429" s="4" t="str">
        <x:v>经营边界未确认</x:v>
      </x:c>
      <x:c r="G429" s="4" t="str">
        <x:v>2581270</x:v>
      </x:c>
      <x:c r="H429" s="4" t="str">
        <x:v>Estante de pared flotante</x:v>
      </x:c>
      <x:c r="I429" s="4" t="str">
        <x:v>related_type</x:v>
      </x:c>
      <x:c r="J429" s="4" t="str">
        <x:v>Action悬浮壁架提供相关完整搁架参照，安装与家具边界仍待确认</x:v>
      </x:c>
      <x:c r="K429" s="4" t="str">
        <x:v>承重和固定方式未知</x:v>
      </x:c>
      <x:c r="L429" s="4" t="str">
        <x:v>https://www.amazon.es/suptek-estantes-flotantes-Accesorios-CS303/dp/B07YDF9JG5/ref=sr_1_2091?dib=eyJ2IjoiMSJ9.cLP0WrfY3SoSK8wcd7chQ1eqeYiUwtuPnwJqyZ6KikZcZxLqNjKx3RulHhAz8Cxk_3hpaesus-ms2P1jpm9tja4uTfr4Du1fnwLe-Ec-gLic_HSDPHEHe_G8DYn2vG-yrYGqPkzf3QoWbQNLTK_uHFG4rqiUB_7tovYD5iwZwoJwsGwoBeG-6XlcWJeE9oYyo_3JWCxBR7jjzzrlbemhYf35EcKnMuSwXTM_Vl9Gd6t1wkNojjJVsuT-6IjWBrmgBtNJ-7HD_t4pVM56M700lIIMwUceT0Q_eDM75ROA8Fc.kQQa7_8XY0qtAcBADjaKahpbvmRvxSBxB2HXs4N8ipw&amp;dib_tag=se&amp;qid=1792598399&amp;s=kitchen&amp;sr=1-2091&amp;srs=88626813031&amp;xpid=CeuYXw3Vdr0Bg</x:v>
      </x:c>
      <x:c r="M429" s="4" t="str">
        <x:v>B0_84bacc4c6b66_024903</x:v>
      </x:c>
      <x:c r="N429" s="4" t="str">
        <x:v>50f3322bc434ed661072592a1e0766056fd5fe5385d70f4dd3b255f2cc2fb8b4</x:v>
      </x:c>
      <x:c r="O429" s="8"/>
      <x:c r="P429" s="8"/>
      <x:c r="Q429" s="8"/>
      <x:c r="R429" s="8"/>
    </x:row>
    <x:row r="430" ht="90" customHeight="1">
      <x:c r="A430" s="4" t="str">
        <x:v>P426</x:v>
      </x:c>
      <x:c r="B430" s="4" t="str">
        <x:v>Herramienta de Corte de Hilo de Madera, Herramienta de Gancho de Pestillo Doblado de Fácil Corte para Manualidades de Bordado DIY</x:v>
      </x:c>
      <x:c r="C430" s="4" t="str">
        <x:v>刺绣手工具（具体形态待核实）</x:v>
      </x:c>
      <x:c r="D430" s="4" t="str">
        <x:v>标题提及钩取与切线，具体作用需核对</x:v>
      </x:c>
      <x:c r="E430" s="4" t="str">
        <x:v>观察</x:v>
      </x:c>
      <x:c r="F430" s="4" t="str">
        <x:v>供货或形态信息不足</x:v>
      </x:c>
      <x:c r="G430" s="4" t="str"/>
      <x:c r="H430" s="4" t="str"/>
      <x:c r="I430" s="4" t="str">
        <x:v>none</x:v>
      </x:c>
      <x:c r="J430" s="4" t="str">
        <x:v>标题同时称切线工具和弯曲闩钩，无法确定销售的是哪种结构，不强行套成普通钩针</x:v>
      </x:c>
      <x:c r="K430" s="4" t="str">
        <x:v>切线或钩织主体存在名称歧义</x:v>
      </x:c>
      <x:c r="L430" s="4" t="str">
        <x:v>https://www.amazon.es/Herramienta-Pestillo-Doblado-Manualidades-Bordado/dp/B0C7BV19LS?psc=1</x:v>
      </x:c>
      <x:c r="M430" s="4" t="str">
        <x:v>B0_84bacc4c6b66_009596</x:v>
      </x:c>
      <x:c r="N430" s="4" t="str">
        <x:v>843ccdd69a35e9d10084d60e51936ac632729fd2fa513e4c372991265ff1ce9d</x:v>
      </x:c>
      <x:c r="O430" s="8"/>
      <x:c r="P430" s="8"/>
      <x:c r="Q430" s="8"/>
      <x:c r="R430" s="8"/>
    </x:row>
    <x:row r="431" ht="90" customHeight="1">
      <x:c r="A431" s="4" t="str">
        <x:v>P427</x:v>
      </x:c>
      <x:c r="B431" s="4" t="str">
        <x:v>Corgi AA27709 North American P-51D Mustang, «Moonbeam McSWINE», William T. «Bill» Whisner Jr, 1945 - Maqueta de aviación fundida a presión, a Partir de 14 años</x:v>
      </x:c>
      <x:c r="C431" s="4" t="str">
        <x:v>压铸飞机模型</x:v>
      </x:c>
      <x:c r="D431" s="4" t="str">
        <x:v>模型收藏或展示</x:v>
      </x:c>
      <x:c r="E431" s="4" t="str">
        <x:v>保留</x:v>
      </x:c>
      <x:c r="F431" s="4" t="str"/>
      <x:c r="G431" s="4" t="str">
        <x:v>3015430</x:v>
      </x:c>
      <x:c r="H431" s="4" t="str">
        <x:v>Set de juguete de avión Chloe Girlz</x:v>
      </x:c>
      <x:c r="I431" s="4" t="str">
        <x:v>related_type</x:v>
      </x:c>
      <x:c r="J431" s="4" t="str">
        <x:v>Action飞机玩具套装提供缩小飞机模型的相关类型，不推定收藏级精度或材料相同</x:v>
      </x:c>
      <x:c r="K431" s="4" t="str">
        <x:v>比例及可动结构未说明</x:v>
      </x:c>
      <x:c r="L431" s="4" t="str">
        <x:v>https://www.amazon.es/Corgi-AA27709-American-%C2%ABMoonbeam-McSWINE%C2%BB/dp/B0H6N4YVZD?psc=1</x:v>
      </x:c>
      <x:c r="M431" s="4" t="str">
        <x:v>B0_84bacc4c6b66_005085</x:v>
      </x:c>
      <x:c r="N431" s="4" t="str">
        <x:v>f3133b74faf6b9af162d73921936b4bdf87317b8695552fd2db0c21913304f9c</x:v>
      </x:c>
      <x:c r="O431" s="8"/>
      <x:c r="P431" s="8"/>
      <x:c r="Q431" s="8"/>
      <x:c r="R431" s="8"/>
    </x:row>
    <x:row r="432" ht="90" customHeight="1">
      <x:c r="A432" s="4" t="str">
        <x:v>P428</x:v>
      </x:c>
      <x:c r="B432" s="4" t="str">
        <x:v>Batidor Danés ORBLUE, Set de 2 Piezas, Mezclador de Masa Manual, Ideal para Masa de Pan, Batidora Danesa con Gancho de Masa</x:v>
      </x:c>
      <x:c r="C432" s="4" t="str">
        <x:v>手动丹麦面团搅拌器</x:v>
      </x:c>
      <x:c r="D432" s="4" t="str">
        <x:v>混合面团</x:v>
      </x:c>
      <x:c r="E432" s="4" t="str">
        <x:v>保留</x:v>
      </x:c>
      <x:c r="F432" s="4" t="str"/>
      <x:c r="G432" s="4" t="str">
        <x:v>3219765</x:v>
      </x:c>
      <x:c r="H432" s="4" t="str">
        <x:v>Batidor de varillas MasterChef</x:v>
      </x:c>
      <x:c r="I432" s="4" t="str">
        <x:v>related_type</x:v>
      </x:c>
      <x:c r="J432" s="4" t="str">
        <x:v>Action手动搅拌棒支持手动混合食材，不能因Batidora误判电动搅拌机</x:v>
      </x:c>
      <x:c r="K432" s="4" t="str">
        <x:v>结构和适用稠度未知</x:v>
      </x:c>
      <x:c r="L432" s="4" t="str">
        <x:v>https://www.amazon.es/Orblue-Batidora-Danesa-Masa-Manual/dp/B06ZXWR7VW/ref=sr_1_2596?dib=eyJ2IjoiMSJ9.skZ4DXl99te2CTvMQ6cAIgOar_tKAm06nXf-Stb2f13vuQ0PRYHzyv5SUrA36ZB8n_tX-MbWm2wvldoKqV3S2AZmPlJV4WQ-THMoVZHMSzsquwU5ndaGwr3bKPLGaMcjFyRRh5dXJzsfKXmjP2r_-tgTB-y-7ntJbdXIFZYqtTWiGtaNqTMDk3LFUWGYMC1zsrvX-j9RiDYWc6XRCVVWrYy0PQHhUQYBxN6rXheqjVXkhnLC1TT8jk2ydRg_5VkE2qDvYmen6Cv86V5e6C7DaieMuMI4dFBZhnXRNGBDqqg.EOvJ9scoN_FUp-lDlUwIeJptPPIF0mrnY-47b1VEHr0&amp;dib_tag=se&amp;qid=1792598915&amp;s=kitchen&amp;sr=1-2596&amp;srs=88626813031&amp;xpid=CeuYXw3Vdr0Bg</x:v>
      </x:c>
      <x:c r="M432" s="4" t="str">
        <x:v>B0_84bacc4c6b66_014809</x:v>
      </x:c>
      <x:c r="N432" s="4" t="str">
        <x:v>c33e441904295ec01a0579ffb4c7b53189164b73befc8011fd310caa3a9099d3</x:v>
      </x:c>
      <x:c r="O432" s="8"/>
      <x:c r="P432" s="8"/>
      <x:c r="Q432" s="8"/>
      <x:c r="R432" s="8"/>
    </x:row>
    <x:row r="433" ht="90" customHeight="1">
      <x:c r="A433" s="4" t="str">
        <x:v>P429</x:v>
      </x:c>
      <x:c r="B433" s="4" t="str">
        <x:v>JOJOR Molde de Silicona para Fundición de Joyas - 2 Unidades para Resina UV y Epoxi - Colgantes, Collares, Pendientes, Decoración, Soporte para Joyas y Manualidades</x:v>
      </x:c>
      <x:c r="C433" s="4" t="str">
        <x:v>树脂饰品铸造模具</x:v>
      </x:c>
      <x:c r="D433" s="4" t="str">
        <x:v>制作树脂饰品形状</x:v>
      </x:c>
      <x:c r="E433" s="4" t="str">
        <x:v>观察</x:v>
      </x:c>
      <x:c r="F433" s="4" t="str">
        <x:v>缺少有效Action参照</x:v>
      </x:c>
      <x:c r="G433" s="4" t="str"/>
      <x:c r="H433" s="4" t="str"/>
      <x:c r="I433" s="4" t="str">
        <x:v>none</x:v>
      </x:c>
      <x:c r="J433" s="4" t="str">
        <x:v>明确为饰品树脂用模具，烘焙或冰格模具的相同材料不足以证明同用途</x:v>
      </x:c>
      <x:c r="K433" s="4" t="str">
        <x:v>树脂体系兼容和固化条件未知</x:v>
      </x:c>
      <x:c r="L433" s="4" t="str">
        <x:v>https://www.amazon.es/JOJOR-Silicona-Colgante-Pendientes-decoraci%C3%B3n/dp/B07VBM39GG?psc=1</x:v>
      </x:c>
      <x:c r="M433" s="4" t="str">
        <x:v>B0_84bacc4c6b66_010594</x:v>
      </x:c>
      <x:c r="N433" s="4" t="str">
        <x:v>fdf6a77d63a4a7c0f9386938ea41eeb605076ce818cdf981c8cbb23a96de3a28</x:v>
      </x:c>
      <x:c r="O433" s="8"/>
      <x:c r="P433" s="8"/>
      <x:c r="Q433" s="8"/>
      <x:c r="R433" s="8"/>
    </x:row>
    <x:row r="434" ht="90" customHeight="1">
      <x:c r="A434" s="4" t="str">
        <x:v>P430</x:v>
      </x:c>
      <x:c r="B434" s="4" t="str">
        <x:v>Philips Viva Collection Tostadora, 2 Ranuras Extraanchas, Función para Panecillos Integrada, 7 Intensidades, Bandeja Recogemigas Desmontable, Gris (Metal) (HD2637/90)</x:v>
      </x:c>
      <x:c r="C434" s="4" t="str">
        <x:v>双槽面包机</x:v>
      </x:c>
      <x:c r="D434" s="4" t="str">
        <x:v>烘烤面包片</x:v>
      </x:c>
      <x:c r="E434" s="4" t="str">
        <x:v>观察</x:v>
      </x:c>
      <x:c r="F434" s="4" t="str">
        <x:v>经营边界未确认</x:v>
      </x:c>
      <x:c r="G434" s="4" t="str">
        <x:v>3205854</x:v>
      </x:c>
      <x:c r="H434" s="4" t="str">
        <x:v>Tostadora Philips Serie 1000</x:v>
      </x:c>
      <x:c r="I434" s="4" t="str">
        <x:v>same_type</x:v>
      </x:c>
      <x:c r="J434" s="4" t="str">
        <x:v>Action面包烘烤机直接同类，不把收屑盘当销售主体</x:v>
      </x:c>
      <x:c r="K434" s="4" t="str">
        <x:v>实际烘烤表现未验证</x:v>
      </x:c>
      <x:c r="L434" s="4" t="str">
        <x:v>https://www.amazon.es/Philips-HD2637-90-Tostadora-calentador/dp/B01J5FFW9Y/ref=sr_1_130?dib=eyJ2IjoiMSJ9.OMHgcdbvSSZ6ULoqx50Uo3F1UVm7F9DAqkweRxGiDkbLkuBBDiTLWzyr7Kjz84BymWr1RwoswM0sHVL9n9J7BYW1slHOMBoiohg5jaOXKZOQntmEwAzaWipG6QDZEcZRMXAY6ppmRctisTF1-EdxaytVc4ER_tF7SOkBmsIgh7kpgf66_KyTyTbKymHdCMwjZ0mRdDBk6wvb9tfXcUWiYrLvX4APp7kFRm8580wEyfdacRQC40dec9NFdPB6NJDtPCrbWduUgqA2vgtESICshSWvV0l5xlRxXKBwtT5mEI8.mh74i7En7OcgzDSdeC4IG0m9RDOxLThNTOs8qhS4WVE&amp;dib_tag=se&amp;qid=1792649039&amp;s=kitchen&amp;sr=1-130&amp;srs=88626813031&amp;xpid=qpnO31ULD-dQ4</x:v>
      </x:c>
      <x:c r="M434" s="4" t="str">
        <x:v>B0_84bacc4c6b66_015646</x:v>
      </x:c>
      <x:c r="N434" s="4" t="str">
        <x:v>24dad55da438fbd7a383cb9375b2cdba055be313cef4e9c1779fe3b89708ceb8</x:v>
      </x:c>
      <x:c r="O434" s="8"/>
      <x:c r="P434" s="8"/>
      <x:c r="Q434" s="8"/>
      <x:c r="R434" s="8"/>
    </x:row>
    <x:row r="435" ht="90" customHeight="1">
      <x:c r="A435" s="4" t="str">
        <x:v>P431</x:v>
      </x:c>
      <x:c r="B435" s="4" t="str">
        <x:v>fischer - Solución Total Blanco 290ml | Alta Elasticidad y Adherencia | Pintable y Resistente a UV | Uso Interior y Exterior | Para Construcción, Automoción y Techos</x:v>
      </x:c>
      <x:c r="C435" s="4" t="str">
        <x:v>施工材料（具体类型待核实）</x:v>
      </x:c>
      <x:c r="D435" s="4" t="str">
        <x:v>标题声称弹性和黏附用途</x:v>
      </x:c>
      <x:c r="E435" s="4" t="str">
        <x:v>观察</x:v>
      </x:c>
      <x:c r="F435" s="4" t="str">
        <x:v>供货或形态信息不足</x:v>
      </x:c>
      <x:c r="G435" s="4" t="str"/>
      <x:c r="H435" s="4" t="str"/>
      <x:c r="I435" s="4" t="str">
        <x:v>none</x:v>
      </x:c>
      <x:c r="J435" s="4" t="str">
        <x:v>名称没有明确胶或密封剂主体，不能仅凭品牌及290ml猜配方或用途类别</x:v>
      </x:c>
      <x:c r="K435" s="4" t="str">
        <x:v>材料类型与成分未明确</x:v>
      </x:c>
      <x:c r="L435" s="4" t="str">
        <x:v>https://www.amazon.es/fischer-570946-interiores-exteriores-resistente/dp/B0CJFMX2W3?psc=1</x:v>
      </x:c>
      <x:c r="M435" s="4" t="str">
        <x:v>B0_84bacc4c6b66_023922</x:v>
      </x:c>
      <x:c r="N435" s="4" t="str">
        <x:v>eb723100efb228aa24ce4b0accfa421ac366ef3b63e5a775436416c450a56742</x:v>
      </x:c>
      <x:c r="O435" s="8"/>
      <x:c r="P435" s="8"/>
      <x:c r="Q435" s="8"/>
      <x:c r="R435" s="8"/>
    </x:row>
    <x:row r="436" ht="90" customHeight="1">
      <x:c r="A436" s="4" t="str">
        <x:v>P432</x:v>
      </x:c>
      <x:c r="B436" s="4" t="str">
        <x:v>Braun MultiMix 5 HM 5137 - Batidora de mano con regulación de velocidad continua, incluye batidor, gancho para amasar, batidora, picadora y vaso de 600 ml, 750 W, color blanco</x:v>
      </x:c>
      <x:c r="C436" s="4" t="str">
        <x:v>带附件手持搅拌机</x:v>
      </x:c>
      <x:c r="D436" s="4" t="str">
        <x:v>搅拌、和面或切碎食材</x:v>
      </x:c>
      <x:c r="E436" s="4" t="str">
        <x:v>观察</x:v>
      </x:c>
      <x:c r="F436" s="4" t="str">
        <x:v>经营边界未确认</x:v>
      </x:c>
      <x:c r="G436" s="4" t="str">
        <x:v>3210877</x:v>
      </x:c>
      <x:c r="H436" s="4" t="str">
        <x:v>Juego de batidora de mano Home Essentials</x:v>
      </x:c>
      <x:c r="I436" s="4" t="str">
        <x:v>related_type</x:v>
      </x:c>
      <x:c r="J436" s="4" t="str">
        <x:v>Action手持搅拌机套装是相关完整设备参照，配件由本品标题明确</x:v>
      </x:c>
      <x:c r="K436" s="4" t="str">
        <x:v>不同附件的实际规格未知</x:v>
      </x:c>
      <x:c r="L436" s="4" t="str">
        <x:v>https://www.amazon.es/Braun-MultiMix-HM-5137-inoxidable/dp/B0718XR163/ref=sr_1_3514?dib=eyJ2IjoiMSJ9.ckcbcwLDPS-VzcCQyUKgxpqajoOz0kgfyAHu35v-IRARKCGGeD6PwaPDddXF6QSnGhUTz0q57mujaoX49qVwRXzjMckx-og3EuarbrvPs5mGF4z8StF4QnGVWshDHP2UAG-4SOGbNwmh8mMpCeqWQzDbTXeO4vzrDwICYXLxICAr5YX_6I58YPLwpVPsGSyYIEqLPlR2hGAwo30xU27T7LO0zdaNvKhwTU1no9f9eeHXr88pXvNTJUHOTqRExQZGI8T-yael0W4GXqfKpQnEJiVKWBOaFtWrkuWyiRa-6SI.NPhb1eHKKyVbORo3XgHzwLpZInCnL6RwIhB8riLJa1A&amp;dib_tag=se&amp;qid=1792652218&amp;s=kitchen&amp;sr=1-3514&amp;srs=88626813031&amp;xpid=qpnO31ULD-dQ4</x:v>
      </x:c>
      <x:c r="M436" s="4" t="str">
        <x:v>B0_84bacc4c6b66_003408</x:v>
      </x:c>
      <x:c r="N436" s="4" t="str">
        <x:v>452cf79f07cde1999974eec8624baea64034b4d72d33437da7037b75ff82ed16</x:v>
      </x:c>
      <x:c r="O436" s="8"/>
      <x:c r="P436" s="8"/>
      <x:c r="Q436" s="8"/>
      <x:c r="R436" s="8"/>
    </x:row>
    <x:row r="437" ht="90" customHeight="1">
      <x:c r="A437" s="4" t="str">
        <x:v>P433</x:v>
      </x:c>
      <x:c r="B437" s="4" t="str">
        <x:v>Aqua Water Doodle Matte,120x90cm Super Grande Aqua Magic Doodle Matte,Malmatte mit Wasserstift Werkzeuge Stempe Zubehör,fleckenfreie Malspaß mit Wasser,für 1 2 3 4 5 6 Jahre Alt Junge Mädchen</x:v>
      </x:c>
      <x:c r="C437" s="4" t="str">
        <x:v>水画涂鸦垫套装</x:v>
      </x:c>
      <x:c r="D437" s="4" t="str">
        <x:v>用水笔进行可重复绘画</x:v>
      </x:c>
      <x:c r="E437" s="4" t="str">
        <x:v>观察</x:v>
      </x:c>
      <x:c r="F437" s="4" t="str">
        <x:v>缺少有效Action参照</x:v>
      </x:c>
      <x:c r="G437" s="4" t="str"/>
      <x:c r="H437" s="4" t="str"/>
      <x:c r="I437" s="4" t="str">
        <x:v>none</x:v>
      </x:c>
      <x:c r="J437" s="4" t="str">
        <x:v>英德混合标题指儿童水画垫，不是毛巾或普通纸画本</x:v>
      </x:c>
      <x:c r="K437" s="4" t="str">
        <x:v>具体配件与适龄声称未验证</x:v>
      </x:c>
      <x:c r="L437" s="4" t="str">
        <x:v>https://www.amazon.es/120x90cm-Malmatte-Wasserstift-Werkzeuge-fleckenfreie/dp/B0HJ8NRNVP?psc=1</x:v>
      </x:c>
      <x:c r="M437" s="4" t="str">
        <x:v>B0_84bacc4c6b66_000044</x:v>
      </x:c>
      <x:c r="N437" s="4" t="str">
        <x:v>8d689c621a8351d778bb070e9f32f14c4cc55a1478edcc1d5c976bac8f633e3d</x:v>
      </x:c>
      <x:c r="O437" s="8"/>
      <x:c r="P437" s="8"/>
      <x:c r="Q437" s="8"/>
      <x:c r="R437" s="8"/>
    </x:row>
    <x:row r="438" ht="90" customHeight="1">
      <x:c r="A438" s="4" t="str">
        <x:v>P434</x:v>
      </x:c>
      <x:c r="B438" s="4" t="str">
        <x:v>Alfombra en Malla de enganche, Hojas de lona de malla Alfombra en Enganche de malla Gancho de lona Alfombra Fabricación de alfombras Tapiz para bordado Cruz Artesanía Decoración (100 * 150cm)</x:v>
      </x:c>
      <x:c r="C438" s="4" t="str">
        <x:v>地毯刺绣网格底布</x:v>
      </x:c>
      <x:c r="D438" s="4" t="str">
        <x:v>制作打结或刺绣地毯</x:v>
      </x:c>
      <x:c r="E438" s="4" t="str">
        <x:v>观察</x:v>
      </x:c>
      <x:c r="F438" s="4" t="str">
        <x:v>缺少有效Action参照</x:v>
      </x:c>
      <x:c r="G438" s="4" t="str"/>
      <x:c r="H438" s="4" t="str"/>
      <x:c r="I438" s="4" t="str">
        <x:v>none</x:v>
      </x:c>
      <x:c r="J438" s="4" t="str">
        <x:v>销售主体是制作地毯的底布材料，不是成品地毯</x:v>
      </x:c>
      <x:c r="K438" s="4" t="str">
        <x:v>网孔规格和背面处理未知</x:v>
      </x:c>
      <x:c r="L438" s="4" t="str">
        <x:v>https://www.amazon.es/blanco-alfombras-bordado-manualidades-decoraci%C3%B3n/dp/B0DR86CXMR?psc=1</x:v>
      </x:c>
      <x:c r="M438" s="4" t="str">
        <x:v>B0_84bacc4c6b66_023339</x:v>
      </x:c>
      <x:c r="N438" s="4" t="str">
        <x:v>6c32c7243cc5e0360f8fdff8629990d8b2167adbc432cebb653410b45ccfc0ae</x:v>
      </x:c>
      <x:c r="O438" s="8"/>
      <x:c r="P438" s="8"/>
      <x:c r="Q438" s="8"/>
      <x:c r="R438" s="8"/>
    </x:row>
    <x:row r="439" ht="90" customHeight="1">
      <x:c r="A439" s="4" t="str">
        <x:v>P435</x:v>
      </x:c>
      <x:c r="B439" s="4" t="str">
        <x:v>Tristar Sandwichera Grill, 2 Sándwiches, Placas Antiadherentes, 750 W</x:v>
      </x:c>
      <x:c r="C439" s="4" t="str">
        <x:v>三明治压烤机</x:v>
      </x:c>
      <x:c r="D439" s="4" t="str">
        <x:v>烤制夹心面包</x:v>
      </x:c>
      <x:c r="E439" s="4" t="str">
        <x:v>观察</x:v>
      </x:c>
      <x:c r="F439" s="4" t="str">
        <x:v>经营边界未确认</x:v>
      </x:c>
      <x:c r="G439" s="4" t="str">
        <x:v>2572826</x:v>
      </x:c>
      <x:c r="H439" s="4" t="str">
        <x:v>Parrilla de contacto Tristar</x:v>
      </x:c>
      <x:c r="I439" s="4" t="str">
        <x:v>related_type</x:v>
      </x:c>
      <x:c r="J439" s="4" t="str">
        <x:v>Action接触式烤盘是相关两面压烤设备，小家电边界待确认</x:v>
      </x:c>
      <x:c r="K439" s="4" t="str">
        <x:v>烤盘具体形状和可拆性未知</x:v>
      </x:c>
      <x:c r="L439" s="4" t="str">
        <x:v>https://www.amazon.es/Sandwichera-Tristar-SA-3050-parrillas-750/dp/B00GSLVV7G/ref=sr_1_40?dib=eyJ2IjoiMSJ9.OvsRaq595ux3kPN5h-hqOlVkFVxr-jGal1yrFc0GcZ_2YY6MADNDCgMWuoTieLRK90p47WVu3c4b0fqFN1fOToJPWu08MasF3Jw7NE2YierWxmQ8p-iI8sGizQsvPqr0TsKIlN7cEXB_y7gfrQ9YBnyMrlwj4pmCj0ppfWKmlOyjBv539r3t85qtGhOd0DS79AQjGj-J8MhXqenOJIuo_OVWKzdHbgn2OOiXevSkTyi3NJVhlMy0HOfuVvimj6NxPTRNl4rlsyCfwQ9Y7YXBB3PLpM9TY2ouMcMEVy6oBN4.Ofem79rIjeAL1PAEmu7D2WPMjDmtZtSIIlBXI71rtQw&amp;dib_tag=se&amp;qid=1792594526&amp;s=kitchen&amp;sr=1-40&amp;srs=88626813031&amp;xpid=CeuYXw3Vdr0Bg</x:v>
      </x:c>
      <x:c r="M439" s="4" t="str">
        <x:v>B0_84bacc4c6b66_018299</x:v>
      </x:c>
      <x:c r="N439" s="4" t="str">
        <x:v>21e30a31b9a39b7924875acd285b03d0afba718483593034b5066c1f9ff42cfd</x:v>
      </x:c>
      <x:c r="O439" s="8"/>
      <x:c r="P439" s="8"/>
      <x:c r="Q439" s="8"/>
      <x:c r="R439" s="8"/>
    </x:row>
    <x:row r="440" ht="90" customHeight="1">
      <x:c r="A440" s="4" t="str">
        <x:v>P436</x:v>
      </x:c>
      <x:c r="B440" s="4" t="str">
        <x:v>Hario Cafetera de Goteo y Server, Transparente, centimeters</x:v>
      </x:c>
      <x:c r="C440" s="4" t="str">
        <x:v>滴滤咖啡器与分享壶组合</x:v>
      </x:c>
      <x:c r="D440" s="4" t="str">
        <x:v>过滤并盛放咖啡</x:v>
      </x:c>
      <x:c r="E440" s="4" t="str">
        <x:v>观察</x:v>
      </x:c>
      <x:c r="F440" s="4" t="str">
        <x:v>经营边界未确认</x:v>
      </x:c>
      <x:c r="G440" s="4" t="str"/>
      <x:c r="H440" s="4" t="str"/>
      <x:c r="I440" s="4" t="str">
        <x:v>none</x:v>
      </x:c>
      <x:c r="J440" s="4" t="str">
        <x:v>标题不足以确认手冲或电动供热结构，不直接当电咖啡机</x:v>
      </x:c>
      <x:c r="K440" s="4" t="str">
        <x:v>供热方式、容量及配套不完整</x:v>
      </x:c>
      <x:c r="L440" s="4" t="str">
        <x:v>https://www.amazon.es/Hario-VDD02B-Cafetera-goteo-server/dp/B00755F9Z4/ref=sr_1_1608?dib=eyJ2IjoiMSJ9.yt0f8HcC0cKNUkT53A6dz83OYtDuQQpfOtjnO-_1P-MYnKqzkfPDyMEJONwGKWYJOCPLO69KSsX5WraTgBHM0G1z1Z9jKMlElbz4SIQLHVZN9tKl53urA1vzO1XTqqEa3KASdrDtYJptyOzQlUCrTahNjeM310au0tgPgX0SQ0ZoaBNaPNtSEsRyF3V4iwYE7cxXl0Y-HUFQXw4gDuAhxoI4HBbcd9Rf3j4Cewji3cB7byOgwtlRIz87FTN8iabPgrTTqCOfffiOEoJUO-sqTlc_2sNotjQe2j83VhhSZ2g.9W9_CAiR-IFCJ8XZKDAMCiZI0ZUgr72mQYrGAXaUHtw&amp;dib_tag=se&amp;qid=1792650137&amp;s=kitchen&amp;sr=1-1608&amp;srs=88626813031&amp;xpid=qpnO31ULD-dQ4</x:v>
      </x:c>
      <x:c r="M440" s="4" t="str">
        <x:v>B0_84bacc4c6b66_009516</x:v>
      </x:c>
      <x:c r="N440" s="4" t="str">
        <x:v>a2ba50618c06225af10e1f08178c3b79cbc24d7a3c838d8872a13d056b654cb4</x:v>
      </x:c>
      <x:c r="O440" s="8"/>
      <x:c r="P440" s="8"/>
      <x:c r="Q440" s="8"/>
      <x:c r="R440" s="8"/>
    </x:row>
    <x:row r="441" ht="90" customHeight="1">
      <x:c r="A441" s="4" t="str">
        <x:v>P437</x:v>
      </x:c>
      <x:c r="B441" s="4" t="str">
        <x:v>Milliput - X-large polar - arcilla</x:v>
      </x:c>
      <x:c r="C441" s="4" t="str">
        <x:v>造型泥</x:v>
      </x:c>
      <x:c r="D441" s="4" t="str">
        <x:v>塑形制作手工作品</x:v>
      </x:c>
      <x:c r="E441" s="4" t="str">
        <x:v>保留</x:v>
      </x:c>
      <x:c r="F441" s="4" t="str"/>
      <x:c r="G441" s="4" t="str">
        <x:v>3217311</x:v>
      </x:c>
      <x:c r="H441" s="4" t="str">
        <x:v>Arcilla para manualidades</x:v>
      </x:c>
      <x:c r="I441" s="4" t="str">
        <x:v>related_type</x:v>
      </x:c>
      <x:c r="J441" s="4" t="str">
        <x:v>Action手工泥支持字面arcilla主体，不凭Milliput品牌补写双组分或环氧成分</x:v>
      </x:c>
      <x:c r="K441" s="4" t="str">
        <x:v>原料、固化方式和polar含义未说明</x:v>
      </x:c>
      <x:c r="L441" s="4" t="str">
        <x:v>https://www.amazon.es/Milliput-MPP-1-X-large-polar-arcilla/dp/B001OBBTMW?psc=1</x:v>
      </x:c>
      <x:c r="M441" s="4" t="str">
        <x:v>B0_84bacc4c6b66_013475</x:v>
      </x:c>
      <x:c r="N441" s="4" t="str">
        <x:v>257520072510b37853b2888c5a5c0e0f299ab0d5f969f7662f9e7c526ee901b7</x:v>
      </x:c>
      <x:c r="O441" s="8"/>
      <x:c r="P441" s="8"/>
      <x:c r="Q441" s="8"/>
      <x:c r="R441" s="8"/>
    </x:row>
    <x:row r="442" ht="90" customHeight="1">
      <x:c r="A442" s="4" t="str">
        <x:v>P438</x:v>
      </x:c>
      <x:c r="B442" s="4" t="str">
        <x:v>AC - Pack de 6 Cajas de ordenación de plástico Transparente N.º 1. Contenedor para almacenar Libros, Ropa, Mantas. Capacidad 16 litros. Dimensiones Aprox.: 39,6 x 29,6 x 21,5 cm</x:v>
      </x:c>
      <x:c r="C442" s="4" t="str">
        <x:v>透明收纳箱</x:v>
      </x:c>
      <x:c r="D442" s="4" t="str">
        <x:v>存放衣物书籍等</x:v>
      </x:c>
      <x:c r="E442" s="4" t="str">
        <x:v>保留</x:v>
      </x:c>
      <x:c r="F442" s="4" t="str"/>
      <x:c r="G442" s="4" t="str">
        <x:v>3216520</x:v>
      </x:c>
      <x:c r="H442" s="4" t="str">
        <x:v>Cajas de almacenaje</x:v>
      </x:c>
      <x:c r="I442" s="4" t="str">
        <x:v>same_type</x:v>
      </x:c>
      <x:c r="J442" s="4" t="str">
        <x:v>Action收纳箱对应主体，毯子是存放对象</x:v>
      </x:c>
      <x:c r="K442" s="4" t="str">
        <x:v>承重和是否带盖未明确</x:v>
      </x:c>
      <x:c r="L442" s="4" t="str">
        <x:v>https://www.amazon.es/AC-ordenaci%C3%B3n-transparente-Contenedor-Dimensiones/dp/B0CLDC7XDH?psc=1</x:v>
      </x:c>
      <x:c r="M442" s="4" t="str">
        <x:v>B0_84bacc4c6b66_000222</x:v>
      </x:c>
      <x:c r="N442" s="4" t="str">
        <x:v>0d26bab8088fc093dfd1c5422e36d9b5698b7a3d5e5d2dcb61dd8d72c98bf257</x:v>
      </x:c>
      <x:c r="O442" s="8"/>
      <x:c r="P442" s="8"/>
      <x:c r="Q442" s="8"/>
      <x:c r="R442" s="8"/>
    </x:row>
    <x:row r="443" ht="90" customHeight="1">
      <x:c r="A443" s="4" t="str">
        <x:v>P439</x:v>
      </x:c>
      <x:c r="B443" s="4" t="str">
        <x:v>Marco de fotos transparente esmerilado de 2 x 3, paquete de 8 marcos de fotos pequeños para película Fujifilm Instax Mini de 3 pulgadas, para pantalla de mesa Instax Mini 13/12/11/9/8</x:v>
      </x:c>
      <x:c r="C443" s="4" t="str">
        <x:v>小型照片框</x:v>
      </x:c>
      <x:c r="D443" s="4" t="str">
        <x:v>桌面展示照片</x:v>
      </x:c>
      <x:c r="E443" s="4" t="str">
        <x:v>保留</x:v>
      </x:c>
      <x:c r="F443" s="4" t="str"/>
      <x:c r="G443" s="4" t="str">
        <x:v>3221808</x:v>
      </x:c>
      <x:c r="H443" s="4" t="str">
        <x:v>Marco de fotos</x:v>
      </x:c>
      <x:c r="I443" s="4" t="str">
        <x:v>same_type</x:v>
      </x:c>
      <x:c r="J443" s="4" t="str">
        <x:v>Action相框直接对应，不属于相机配件内部结构</x:v>
      </x:c>
      <x:c r="K443" s="4" t="str">
        <x:v>照片尺寸兼容需核对</x:v>
      </x:c>
      <x:c r="L443" s="4" t="str">
        <x:v>https://www.amazon.es/HIYQIN-Transparentes-Pel%C3%ADculas-Fujifilm-Esmerilado/dp/B0D145BH26/ref=sr_1_3049?dib=eyJ2IjoiMSJ9.elfAkdrcfZlMo9OZdauIYLk6GuFJTbPvSM2k8ufL9Raq7W6SzK4Z8G-6PVwktGT42ZQ2iYcA-uPvRckFCunwbzQwEVVTi8OcVqh_uW-i2tWMNztNK4O3JPgncii6kQ49XAzDS9NFXjmdJBdUz_8E4JI4O7OyN9ykKsjC6nduwWtTHiitiYVqVCrYF36ekFftcRN91GaRjggmwcWGADR-HJmI4ERmrX6VLguKzfGHABvfqvTUS_pBFeRKjA22PrrAwtk9KdU6gsFbzrrFv_V6ywl1y0HCbej6nH7AGIom2e4.QcGdlPklE5UFjb_30SxlwavDZjgtV9w_1ubCpF44GtM&amp;dib_tag=se&amp;qid=1792651574&amp;s=kitchen&amp;sr=1-3049&amp;srs=88626813031&amp;xpid=qpnO31ULD-dQ4</x:v>
      </x:c>
      <x:c r="M443" s="4" t="str">
        <x:v>B0_84bacc4c6b66_009045</x:v>
      </x:c>
      <x:c r="N443" s="4" t="str">
        <x:v>89d8485254afbefdbdcfb40fc161e23d7931330466b2a636a74ea7fa73b6fb25</x:v>
      </x:c>
      <x:c r="O443" s="8"/>
      <x:c r="P443" s="8"/>
      <x:c r="Q443" s="8"/>
      <x:c r="R443" s="8"/>
    </x:row>
    <x:row r="444" ht="90" customHeight="1">
      <x:c r="A444" s="4" t="str">
        <x:v>P440</x:v>
      </x:c>
      <x:c r="B444" s="4" t="str">
        <x:v>3 Módulos de Alimentación USB 220V a 5V 2,1A, Doble Puerto USB-A y USB-C | Cargador USB empotrable compacto para móviles y tablets; instalación en pared, escritorio, oficina, taller y proyectos DIY</x:v>
      </x:c>
      <x:c r="C444" s="4" t="str">
        <x:v>嵌入式USB电源模块</x:v>
      </x:c>
      <x:c r="D444" s="4" t="str">
        <x:v>向手机等提供USB电源</x:v>
      </x:c>
      <x:c r="E444" s="4" t="str">
        <x:v>观察</x:v>
      </x:c>
      <x:c r="F444" s="4" t="str">
        <x:v>专用或安装配件</x:v>
      </x:c>
      <x:c r="G444" s="4" t="str">
        <x:v>3221194</x:v>
      </x:c>
      <x:c r="H444" s="4" t="str">
        <x:v>Cargador USB de pared Sitecom</x:v>
      </x:c>
      <x:c r="I444" s="4" t="str">
        <x:v>related_type</x:v>
      </x:c>
      <x:c r="J444" s="4" t="str">
        <x:v>Action墙充只提供相关供电类型，本品明确嵌装，不能视为普通插墙成品充电器</x:v>
      </x:c>
      <x:c r="K444" s="4" t="str">
        <x:v>绝缘、接线和安装要求未知</x:v>
      </x:c>
      <x:c r="L444" s="4" t="str">
        <x:v>https://www.amazon.es/M%C3%B3dulos-Alimentaci%C3%B3n-Doble-Puerto-USB-C/dp/B0HC41CCPF?psc=1</x:v>
      </x:c>
      <x:c r="M444" s="4" t="str">
        <x:v>B0_84bacc4c6b66_012630</x:v>
      </x:c>
      <x:c r="N444" s="4" t="str">
        <x:v>080d30a6c4916f8190101e046a0ac927eee1c757d3557e8e0850380e8b0a0855</x:v>
      </x:c>
      <x:c r="O444" s="8"/>
      <x:c r="P444" s="8"/>
      <x:c r="Q444" s="8"/>
      <x:c r="R444" s="8"/>
    </x:row>
    <x:row r="445" ht="90" customHeight="1">
      <x:c r="A445" s="4" t="str">
        <x:v>P441</x:v>
      </x:c>
      <x:c r="B445" s="4" t="str">
        <x:v>Braun MultiQuick 5 - Minipimer de 1000W Vaso Batidor 1250ml Blanco</x:v>
      </x:c>
      <x:c r="C445" s="4" t="str">
        <x:v>手持料理搅拌机</x:v>
      </x:c>
      <x:c r="D445" s="4" t="str">
        <x:v>搅打食材</x:v>
      </x:c>
      <x:c r="E445" s="4" t="str">
        <x:v>观察</x:v>
      </x:c>
      <x:c r="F445" s="4" t="str">
        <x:v>经营边界未确认</x:v>
      </x:c>
      <x:c r="G445" s="4" t="str">
        <x:v>3224671</x:v>
      </x:c>
      <x:c r="H445" s="4" t="str">
        <x:v>Batidora de mano Tefal Easychef</x:v>
      </x:c>
      <x:c r="I445" s="4" t="str">
        <x:v>same_type</x:v>
      </x:c>
      <x:c r="J445" s="4" t="str">
        <x:v>Minipimer指搅拌设备，杯是附件，Action手持搅拌机同类</x:v>
      </x:c>
      <x:c r="K445" s="4" t="str">
        <x:v>杯容量和动力依据标题未实测</x:v>
      </x:c>
      <x:c r="L445" s="4" t="str">
        <x:v>https://www.amazon.es/Braun-Hogar-Minipimer-5245-anti-salpicaduras/dp/B086HYPP5K/ref=sr_1_1078?dib=eyJ2IjoiMSJ9.ddVIBoGX86t6B3KJB82H5qbLvqgHWhmSwP6YHtTZIm45rwId81afXqfHdCRfvWjMQS6-eIb4CJ2fOSAMu74nLModCEqoB42MybdIsqNOzgqLRuYSJhjG4Ud6Wi88XI1rNpxw0P3lyMBGlTc644_-BuEXR-Qrhvvm1ynHlvkPL308TXZSDhNTWfQyCbPQwRqUyjo1G8WKt5qLElMqRiBrEBrdV-AJJ0UxvAk7YPYDvYiBfEsAuP7aEhO6lkbVvr8hWQMURb_l6xxxDPg08OzxNk0Z3z9dO4kHnxDkC3TwnmU.1RCvmOFXedYInoo5OfPocQzbA0NE3VoJFBx2xBEm1ks&amp;dib_tag=se&amp;qid=1792597495&amp;s=kitchen&amp;sr=1-1078&amp;srs=88626813031&amp;xpid=CeuYXw3Vdr0Bg</x:v>
      </x:c>
      <x:c r="M445" s="4" t="str">
        <x:v>B0_84bacc4c6b66_003388</x:v>
      </x:c>
      <x:c r="N445" s="4" t="str">
        <x:v>a6c1f543c61ccddc5b4abdfb1a3356857369bfac93a917056a8af800eba468b4</x:v>
      </x:c>
      <x:c r="O445" s="8"/>
      <x:c r="P445" s="8"/>
      <x:c r="Q445" s="8"/>
      <x:c r="R445" s="8"/>
    </x:row>
    <x:row r="446" ht="90" customHeight="1">
      <x:c r="A446" s="4" t="str">
        <x:v>P442</x:v>
      </x:c>
      <x:c r="B446" s="4" t="str">
        <x:v>Wattive Interruptor de Transferencia Automático, ATS 2P 63A 220V Dual Power Automatic Transfer Switch carril DIN Conmutador de Transferencia Automática de Corriente de Emergencia, G2R</x:v>
      </x:c>
      <x:c r="C446" s="4" t="str">
        <x:v>自动电源切换开关</x:v>
      </x:c>
      <x:c r="D446" s="4" t="str">
        <x:v>在两路供电之间切换</x:v>
      </x:c>
      <x:c r="E446" s="4" t="str">
        <x:v>观察</x:v>
      </x:c>
      <x:c r="F446" s="4" t="str">
        <x:v>专用或安装配件</x:v>
      </x:c>
      <x:c r="G446" s="4" t="str"/>
      <x:c r="H446" s="4" t="str"/>
      <x:c r="I446" s="4" t="str">
        <x:v>none</x:v>
      </x:c>
      <x:c r="J446" s="4" t="str">
        <x:v>ATS为配电构件，不因自动二字当完整自动化机器</x:v>
      </x:c>
      <x:c r="K446" s="4" t="str">
        <x:v>接线与负载兼容需确认</x:v>
      </x:c>
      <x:c r="L446" s="4" t="str">
        <x:v>https://www.amazon.es/Wattive-Interruptor-Transferencia-Autom%C3%A1tico-G2R/dp/B0FMK8VY2Z?psc=1</x:v>
      </x:c>
      <x:c r="M446" s="4" t="str">
        <x:v>B0_84bacc4c6b66_022042</x:v>
      </x:c>
      <x:c r="N446" s="4" t="str">
        <x:v>b771c4af60bc59601907b971d347b45fd7a36021dbe51b262c22b3f7a02ad919</x:v>
      </x:c>
      <x:c r="O446" s="8"/>
      <x:c r="P446" s="8"/>
      <x:c r="Q446" s="8"/>
      <x:c r="R446" s="8"/>
    </x:row>
    <x:row r="447" ht="90" customHeight="1">
      <x:c r="A447" s="4" t="str">
        <x:v>P443</x:v>
      </x:c>
      <x:c r="B447" s="4" t="str">
        <x:v>OHJEAJDS Alfombra de baño Antideslizante para baño,Absorbente de Agua,Felpa,Microfibra, (50x80 cm),Bandera Pirata y Fondo de Pared (1)</x:v>
      </x:c>
      <x:c r="C447" s="4" t="str">
        <x:v>防滑浴室地垫</x:v>
      </x:c>
      <x:c r="D447" s="4" t="str">
        <x:v>吸收洗浴落水并垫脚</x:v>
      </x:c>
      <x:c r="E447" s="4" t="str">
        <x:v>保留</x:v>
      </x:c>
      <x:c r="F447" s="4" t="str"/>
      <x:c r="G447" s="4" t="str">
        <x:v>3008471</x:v>
      </x:c>
      <x:c r="H447" s="4" t="str">
        <x:v>Alfombra de baño antideslizante</x:v>
      </x:c>
      <x:c r="I447" s="4" t="str">
        <x:v>same_type</x:v>
      </x:c>
      <x:c r="J447" s="4" t="str">
        <x:v>Action防滑浴室垫直接对应，海盗图案不改变类型</x:v>
      </x:c>
      <x:c r="K447" s="4" t="str">
        <x:v>防滑效果未实测</x:v>
      </x:c>
      <x:c r="L447" s="4" t="str">
        <x:v>https://www.amazon.es/OHJEAJDS-Alfombra-Antideslizante-Absorbente-Microfibra/dp/B0DXCYGBFJ?psc=1</x:v>
      </x:c>
      <x:c r="M447" s="4" t="str">
        <x:v>B0_84bacc4c6b66_014455</x:v>
      </x:c>
      <x:c r="N447" s="4" t="str">
        <x:v>264b8676aa6bf394802cee6d230757b1a1ca4bb3d307f54da36857dea7578c9e</x:v>
      </x:c>
      <x:c r="O447" s="8"/>
      <x:c r="P447" s="8"/>
      <x:c r="Q447" s="8"/>
      <x:c r="R447" s="8"/>
    </x:row>
    <x:row r="448" ht="90" customHeight="1">
      <x:c r="A448" s="4" t="str">
        <x:v>P444</x:v>
      </x:c>
      <x:c r="B448" s="4" t="str">
        <x:v>Ceracor Ceramicas Olla de barro refractario para fuego con tapa 4 litros, 23 x 21 cm aprox., cazuela para guisos</x:v>
      </x:c>
      <x:c r="C448" s="4" t="str">
        <x:v>带盖耐火陶土锅</x:v>
      </x:c>
      <x:c r="D448" s="4" t="str">
        <x:v>炖煮食物</x:v>
      </x:c>
      <x:c r="E448" s="4" t="str">
        <x:v>保留</x:v>
      </x:c>
      <x:c r="F448" s="4" t="str"/>
      <x:c r="G448" s="4" t="str">
        <x:v>3007603</x:v>
      </x:c>
      <x:c r="H448" s="4" t="str">
        <x:v>Olla con tapa de cristal Sola</x:v>
      </x:c>
      <x:c r="I448" s="4" t="str">
        <x:v>related_type</x:v>
      </x:c>
      <x:c r="J448" s="4" t="str">
        <x:v>Action带盖锅提供相同烹饪容器类型，不推定其同为陶土材质</x:v>
      </x:c>
      <x:c r="K448" s="4" t="str">
        <x:v>直火和热冲击性能未验证</x:v>
      </x:c>
      <x:c r="L448" s="4" t="str">
        <x:v>https://www.amazon.es/Ceracor-Ceramicas-refractario-tapa-cazuela/dp/B0HKN4CBM8?psc=1</x:v>
      </x:c>
      <x:c r="M448" s="4" t="str">
        <x:v>B0_84bacc4c6b66_004552</x:v>
      </x:c>
      <x:c r="N448" s="4" t="str">
        <x:v>7c1c3604d84c9789d338267e4fb8d77097fabdca7ab49c9e411161fe69364dfe</x:v>
      </x:c>
      <x:c r="O448" s="8"/>
      <x:c r="P448" s="8"/>
      <x:c r="Q448" s="8"/>
      <x:c r="R448" s="8"/>
    </x:row>
    <x:row r="449" ht="90" customHeight="1">
      <x:c r="A449" s="4" t="str">
        <x:v>P445</x:v>
      </x:c>
      <x:c r="B449" s="4" t="str">
        <x:v>Amazon Basics Perchero resistente, 1,21 x 1,52 m, Negro</x:v>
      </x:c>
      <x:c r="C449" s="4" t="str">
        <x:v>衣物挂架</x:v>
      </x:c>
      <x:c r="D449" s="4" t="str">
        <x:v>悬挂收纳衣物</x:v>
      </x:c>
      <x:c r="E449" s="4" t="str">
        <x:v>观察</x:v>
      </x:c>
      <x:c r="F449" s="4" t="str">
        <x:v>经营边界未确认</x:v>
      </x:c>
      <x:c r="G449" s="4" t="str">
        <x:v>3012702</x:v>
      </x:c>
      <x:c r="H449" s="4" t="str">
        <x:v>Perchero</x:v>
      </x:c>
      <x:c r="I449" s="4" t="str">
        <x:v>related_type</x:v>
      </x:c>
      <x:c r="J449" s="4" t="str">
        <x:v>1.21乘1.52米衣架属于完整家居架体，Action衣架是相关类型，家具边界待确认</x:v>
      </x:c>
      <x:c r="K449" s="4" t="str">
        <x:v>脚架和承重未写明</x:v>
      </x:c>
      <x:c r="L449" s="4" t="str">
        <x:v>https://www.amazon.es/AmazonBasics-Perchero-resistente-21-52/dp/B07GFWP2VB/ref=sr_1_3209?dib=eyJ2IjoiMSJ9.L18gq7b0KWz5Di2QuHHuw661Bu4jAsUXm89CovEGcbWBSmeUp1gPD-mpTiWxC2RZg30YAPBLyeAolnmUfTVpIjGg2extaEL7fWrqQq2YBOZjVwI9x3PlNWZ2QHELBw5biz3lY1LrbFAiO64LNMmBhAYaY_2C3ITLWH3s-bvLOBp1i0R_yBRy545B0iST78mEhPi_MUllNZ6dLF8r5lR5ObtOBHbYDTwDCxyWm5CQBgwAG1V5zpErVRIf03q0SsBCDlUhoMbMOP1gC2HXC2QqjsJcfRIBk3nkrigFtPgX69k.hptgSkbzOu9sEc_IudS2dUU8KnhaHNHAopB65g6NhDc&amp;dib_tag=se&amp;qid=1792599586&amp;s=kitchen&amp;sr=1-3209&amp;srs=88626813031&amp;xpid=CeuYXw3Vdr0Bg</x:v>
      </x:c>
      <x:c r="M449" s="4" t="str">
        <x:v>B0_84bacc4c6b66_001491</x:v>
      </x:c>
      <x:c r="N449" s="4" t="str">
        <x:v>fd437b5b07ae2268d67dd88152c45fbd9493cb91a778e3a03c51cc43ec231d67</x:v>
      </x:c>
      <x:c r="O449" s="8"/>
      <x:c r="P449" s="8"/>
      <x:c r="Q449" s="8"/>
      <x:c r="R449" s="8"/>
    </x:row>
    <x:row r="450" ht="90" customHeight="1">
      <x:c r="A450" s="4" t="str">
        <x:v>P446</x:v>
      </x:c>
      <x:c r="B450" s="4" t="str">
        <x:v>Pack 10 listones de pino silvestre 45x45x2200 mm | Resistentes, versátiles y fáciles de cortar e instalar.</x:v>
      </x:c>
      <x:c r="C450" s="4" t="str">
        <x:v>长条松木料</x:v>
      </x:c>
      <x:c r="D450" s="4" t="str">
        <x:v>木作施工或组装</x:v>
      </x:c>
      <x:c r="E450" s="4" t="str">
        <x:v>观察</x:v>
      </x:c>
      <x:c r="F450" s="4" t="str">
        <x:v>经营边界未确认</x:v>
      </x:c>
      <x:c r="G450" s="4" t="str"/>
      <x:c r="H450" s="4" t="str"/>
      <x:c r="I450" s="4" t="str">
        <x:v>none</x:v>
      </x:c>
      <x:c r="J450" s="4" t="str">
        <x:v>2200毫米长木料是施工原料，不能匹配厨房砧板或松枝装饰</x:v>
      </x:c>
      <x:c r="K450" s="4" t="str">
        <x:v>具体加工等级与用途待确认</x:v>
      </x:c>
      <x:c r="L450" s="4" t="str">
        <x:v>https://www.amazon.es/Pack-listones-pino-silvestre-45x45x2200/dp/B0HBN8NR3X?psc=1</x:v>
      </x:c>
      <x:c r="M450" s="4" t="str">
        <x:v>B0_84bacc4c6b66_015258</x:v>
      </x:c>
      <x:c r="N450" s="4" t="str">
        <x:v>7209b90e3f5a80815018234c6dc1b61eadf353b9894cd5174e4fef7076f18ee9</x:v>
      </x:c>
      <x:c r="O450" s="8"/>
      <x:c r="P450" s="8"/>
      <x:c r="Q450" s="8"/>
      <x:c r="R450" s="8"/>
    </x:row>
    <x:row r="451" ht="90" customHeight="1">
      <x:c r="A451" s="4" t="str">
        <x:v>P447</x:v>
      </x:c>
      <x:c r="B451" s="4" t="str">
        <x:v>Canva de Malla Blanco, Alfombra de Tela de Malla, Alfombra de Ganchillo Hecha a Mano DIY para el Hogar, Herramientas de Accesorios de Tela de Malla de Tejer, para Manualidades de Bordado(150x100cm)</x:v>
      </x:c>
      <x:c r="C451" s="4" t="str">
        <x:v>手工地毯网格底布</x:v>
      </x:c>
      <x:c r="D451" s="4" t="str">
        <x:v>制作钩织或刺绣地毯</x:v>
      </x:c>
      <x:c r="E451" s="4" t="str">
        <x:v>观察</x:v>
      </x:c>
      <x:c r="F451" s="4" t="str">
        <x:v>缺少有效Action参照</x:v>
      </x:c>
      <x:c r="G451" s="4" t="str"/>
      <x:c r="H451" s="4" t="str"/>
      <x:c r="I451" s="4" t="str">
        <x:v>none</x:v>
      </x:c>
      <x:c r="J451" s="4" t="str">
        <x:v>网格画布是制作材料，不是成品地毯，成品参照不能直接证明材料同类</x:v>
      </x:c>
      <x:c r="K451" s="4" t="str">
        <x:v>网孔规格和底层材质未知</x:v>
      </x:c>
      <x:c r="L451" s="4" t="str">
        <x:v>https://www.amazon.es/Duradera-Alfombra-Ganchillo-Herramientas-accesorias/dp/B0B1MR8HR8?psc=1</x:v>
      </x:c>
      <x:c r="M451" s="4" t="str">
        <x:v>B0_84bacc4c6b66_006431</x:v>
      </x:c>
      <x:c r="N451" s="4" t="str">
        <x:v>037a72e1dde6a9c1c8d67471b71e9a415fa08134d4db0e656eaa9f57c427f1fa</x:v>
      </x:c>
      <x:c r="O451" s="8"/>
      <x:c r="P451" s="8"/>
      <x:c r="Q451" s="8"/>
      <x:c r="R451" s="8"/>
    </x:row>
    <x:row r="452" ht="90" customHeight="1">
      <x:c r="A452" s="4" t="str">
        <x:v>P448</x:v>
      </x:c>
      <x:c r="B452" s="4" t="str">
        <x:v>Wosyoodo 60 Flores Artificiales, 18 Estilos, 2-7.5cm, Decoración DIY | Seda resistente, colores vivos, no se marchitan, reutilizables, para bodas y manualidades</x:v>
      </x:c>
      <x:c r="C452" s="4" t="str">
        <x:v>手工仿真花</x:v>
      </x:c>
      <x:c r="D452" s="4" t="str">
        <x:v>装饰或制作花艺</x:v>
      </x:c>
      <x:c r="E452" s="4" t="str">
        <x:v>保留</x:v>
      </x:c>
      <x:c r="F452" s="4" t="str"/>
      <x:c r="G452" s="4" t="str">
        <x:v>3221114</x:v>
      </x:c>
      <x:c r="H452" s="4" t="str">
        <x:v>Flor artificial</x:v>
      </x:c>
      <x:c r="I452" s="4" t="str">
        <x:v>same_type</x:v>
      </x:c>
      <x:c r="J452" s="4" t="str">
        <x:v>Action仿真花支持商品主体</x:v>
      </x:c>
      <x:c r="K452" s="4" t="str">
        <x:v>是否带完整花茎及材质比例未明确</x:v>
      </x:c>
      <x:c r="L452" s="4" t="str">
        <x:v>https://www.amazon.es/Wosyoodo-Artificiales-Decoraci%C3%B3n-reutilizables-manualidades/dp/B0HBV8VV8Q?psc=1</x:v>
      </x:c>
      <x:c r="M452" s="4" t="str">
        <x:v>B0_84bacc4c6b66_022229</x:v>
      </x:c>
      <x:c r="N452" s="4" t="str">
        <x:v>ecf2174834e0b6376f0d16cfeaad67634664c6e4bf0191daf5fc5b554b285d70</x:v>
      </x:c>
      <x:c r="O452" s="8"/>
      <x:c r="P452" s="8"/>
      <x:c r="Q452" s="8"/>
      <x:c r="R452" s="8"/>
    </x:row>
    <x:row r="453" ht="90" customHeight="1">
      <x:c r="A453" s="4" t="str">
        <x:v>P449</x:v>
      </x:c>
      <x:c r="B453" s="4" t="str">
        <x:v>Engelbach® Escobilla Baño Silicona con Mango y Soporte de Acero Inoxidable – Cepillo WC Antibacteriano de Montaje en Pared Sin Taladro – Escobillero con Cabezal de Repuesto - Negro</x:v>
      </x:c>
      <x:c r="C453" s="4" t="str">
        <x:v>带座马桶刷</x:v>
      </x:c>
      <x:c r="D453" s="4" t="str">
        <x:v>清洁坐便器</x:v>
      </x:c>
      <x:c r="E453" s="4" t="str">
        <x:v>保留</x:v>
      </x:c>
      <x:c r="F453" s="4" t="str"/>
      <x:c r="G453" s="4" t="str">
        <x:v>3222126</x:v>
      </x:c>
      <x:c r="H453" s="4" t="str">
        <x:v>Escobilla de baño con soporte</x:v>
      </x:c>
      <x:c r="I453" s="4" t="str">
        <x:v>same_type</x:v>
      </x:c>
      <x:c r="J453" s="4" t="str">
        <x:v>Action带座厕所刷与完整清洁用品主体对应</x:v>
      </x:c>
      <x:c r="K453" s="4" t="str">
        <x:v>抗菌效果及墙面贴合未验证</x:v>
      </x:c>
      <x:c r="L453" s="4" t="str">
        <x:v>https://www.amazon.es/Engelbach%C2%AE-Escobilla-Silicona-Soporte-Inoxidable/dp/B0FVMFTQSC?psc=1</x:v>
      </x:c>
      <x:c r="M453" s="4" t="str">
        <x:v>B0_84bacc4c6b66_006997</x:v>
      </x:c>
      <x:c r="N453" s="4" t="str">
        <x:v>90cec1b83092380cd03267b518457080c32ee1c80ab8766c25a41f47e89f681d</x:v>
      </x:c>
      <x:c r="O453" s="8"/>
      <x:c r="P453" s="8"/>
      <x:c r="Q453" s="8"/>
      <x:c r="R453" s="8"/>
    </x:row>
    <x:row r="454" ht="90" customHeight="1">
      <x:c r="A454" s="4" t="str">
        <x:v>P450</x:v>
      </x:c>
      <x:c r="B454" s="4" t="str">
        <x:v>BRITA Jarra filtradora de agua MAXTRA Marella, 1x filtro Pure Performance | Azul (2.4L) jarra apta para puerta de frigo con pantalla digital y tapa abatible, reduce PFAS, cloro, cal e impurezas</x:v>
      </x:c>
      <x:c r="C454" s="4" t="str">
        <x:v>滤水壶</x:v>
      </x:c>
      <x:c r="D454" s="4" t="str">
        <x:v>过滤并盛放饮用水</x:v>
      </x:c>
      <x:c r="E454" s="4" t="str">
        <x:v>保留</x:v>
      </x:c>
      <x:c r="F454" s="4" t="str"/>
      <x:c r="G454" s="4" t="str">
        <x:v>2566807</x:v>
      </x:c>
      <x:c r="H454" s="4" t="str">
        <x:v>Jarra de agua con filtro</x:v>
      </x:c>
      <x:c r="I454" s="4" t="str">
        <x:v>same_type</x:v>
      </x:c>
      <x:c r="J454" s="4" t="str">
        <x:v>Action带滤器水壶对应整体主体，冰箱是放置场景</x:v>
      </x:c>
      <x:c r="K454" s="4" t="str">
        <x:v>滤除特定污染物声称未验证</x:v>
      </x:c>
      <x:c r="L454" s="4" t="str">
        <x:v>https://www.amazon.es/BRITA-filtro-Marella-cartucho-MAXTRA/dp/B0BSXCCXD6?psc=1</x:v>
      </x:c>
      <x:c r="M454" s="4" t="str">
        <x:v>B0_84bacc4c6b66_002426</x:v>
      </x:c>
      <x:c r="N454" s="4" t="str">
        <x:v>9a459b6e7ae0007e2bb8b908688305f322c2a7970bd6787393f44f140943a445</x:v>
      </x:c>
      <x:c r="O454" s="8"/>
      <x:c r="P454" s="8"/>
      <x:c r="Q454" s="8"/>
      <x:c r="R454" s="8"/>
    </x:row>
    <x:row r="455" ht="90" customHeight="1">
      <x:c r="A455" s="4" t="str">
        <x:v>P451</x:v>
      </x:c>
      <x:c r="B455" s="4" t="str">
        <x:v>AC - Caja de ordenación – N.º 31 - Contenedor para almacenar Libros, Ropa, Mantas - Capacidad 9 litros - Dimensiones Aprox.: 14 x 37 x 26 cm - Color Aleatorio</x:v>
      </x:c>
      <x:c r="C455" s="4" t="str">
        <x:v>收纳箱</x:v>
      </x:c>
      <x:c r="D455" s="4" t="str">
        <x:v>整理书籍衣物等</x:v>
      </x:c>
      <x:c r="E455" s="4" t="str">
        <x:v>保留</x:v>
      </x:c>
      <x:c r="F455" s="4" t="str"/>
      <x:c r="G455" s="4" t="str">
        <x:v>3215538</x:v>
      </x:c>
      <x:c r="H455" s="4" t="str">
        <x:v>Caja de almacenaje</x:v>
      </x:c>
      <x:c r="I455" s="4" t="str">
        <x:v>same_type</x:v>
      </x:c>
      <x:c r="J455" s="4" t="str">
        <x:v>Action收纳箱直接对应，毯子不是销售主体</x:v>
      </x:c>
      <x:c r="K455" s="4" t="str">
        <x:v>材质未写明，不补塑料</x:v>
      </x:c>
      <x:c r="L455" s="4" t="str">
        <x:v>https://www.amazon.es/AC-ordenaci%C3%B3n-Contenedor-almacenar-Dimensiones/dp/B0BQWYSMYL?psc=1</x:v>
      </x:c>
      <x:c r="M455" s="4" t="str">
        <x:v>B0_84bacc4c6b66_000221</x:v>
      </x:c>
      <x:c r="N455" s="4" t="str">
        <x:v>441e2cc37416f58bd8c360711ff2f740000a32b67a9c339d708ab60b6b727e86</x:v>
      </x:c>
      <x:c r="O455" s="8"/>
      <x:c r="P455" s="8"/>
      <x:c r="Q455" s="8"/>
      <x:c r="R455" s="8"/>
    </x:row>
    <x:row r="456" ht="90" customHeight="1">
      <x:c r="A456" s="4" t="str">
        <x:v>P452</x:v>
      </x:c>
      <x:c r="B456" s="4" t="str">
        <x:v>Difusor de Aroma Portátil 60K, Dispositivo sin líquido, Diseño Compacto, Fácil de Usar</x:v>
      </x:c>
      <x:c r="C456" s="4" t="str">
        <x:v>便携芳香设备（形态待核实）</x:v>
      </x:c>
      <x:c r="D456" s="4" t="str">
        <x:v>散发香味，作用方式待核对</x:v>
      </x:c>
      <x:c r="E456" s="4" t="str">
        <x:v>观察</x:v>
      </x:c>
      <x:c r="F456" s="4" t="str">
        <x:v>供货或形态信息不足</x:v>
      </x:c>
      <x:c r="G456" s="4" t="str">
        <x:v>3224018</x:v>
      </x:c>
      <x:c r="H456" s="4" t="str">
        <x:v>Difusor de aromas</x:v>
      </x:c>
      <x:c r="I456" s="4" t="str">
        <x:v>related_type</x:v>
      </x:c>
      <x:c r="J456" s="4" t="str">
        <x:v>名称称无液体便携芳香设备，60K意义和实际结构不明确，不能据此认定普通香薰器</x:v>
      </x:c>
      <x:c r="K456" s="4" t="str">
        <x:v>介质、供电、60K含义未知</x:v>
      </x:c>
      <x:c r="L456" s="4" t="str">
        <x:v>https://www.amazon.es/Difusor-Port%C3%A1til-Dispositivo-l%C3%ADquido-Compacto/dp/B0HBG9G9JN?psc=1</x:v>
      </x:c>
      <x:c r="M456" s="4" t="str">
        <x:v>B0_84bacc4c6b66_006216</x:v>
      </x:c>
      <x:c r="N456" s="4" t="str">
        <x:v>017250b01e9af25f77f1f3ef0f4f40de774d36343af55a05a5a874d7f9326328</x:v>
      </x:c>
      <x:c r="O456" s="8"/>
      <x:c r="P456" s="8"/>
      <x:c r="Q456" s="8"/>
      <x:c r="R456" s="8"/>
    </x:row>
    <x:row r="457" ht="90" customHeight="1">
      <x:c r="A457" s="4" t="str">
        <x:v>P453</x:v>
      </x:c>
      <x:c r="B457" s="4" t="str">
        <x:v>AMFUN 150 ML Mini Termos, Botella de agua térmica de acero inoxidable con pajita, Taza Aislante Portátil de Acero Inoxidable, Sin BPA, para Gimna, Exterior, Viajes, Trabajo, Escuela (Rosa)</x:v>
      </x:c>
      <x:c r="C457" s="4" t="str">
        <x:v>迷你保温水瓶</x:v>
      </x:c>
      <x:c r="D457" s="4" t="str">
        <x:v>携带少量饮品并保温</x:v>
      </x:c>
      <x:c r="E457" s="4" t="str">
        <x:v>保留</x:v>
      </x:c>
      <x:c r="F457" s="4" t="str"/>
      <x:c r="G457" s="4" t="str">
        <x:v>3218544</x:v>
      </x:c>
      <x:c r="H457" s="4" t="str">
        <x:v>Botella térmica</x:v>
      </x:c>
      <x:c r="I457" s="4" t="str">
        <x:v>same_type</x:v>
      </x:c>
      <x:c r="J457" s="4" t="str">
        <x:v>Action保温瓶对应主体，吸管由本品标题支持</x:v>
      </x:c>
      <x:c r="K457" s="4" t="str">
        <x:v>保温表现未实测</x:v>
      </x:c>
      <x:c r="L457" s="4" t="str">
        <x:v>https://www.amazon.es/AMFUN-inoxidable-Aislante-Port%C3%A1til-Inoxidable/dp/B0DYNPQXKZ?psc=1</x:v>
      </x:c>
      <x:c r="M457" s="4" t="str">
        <x:v>B0_84bacc4c6b66_000374</x:v>
      </x:c>
      <x:c r="N457" s="4" t="str">
        <x:v>6dceab173192306234b73a0f0cff13a2d7adf421129807a482b0181c1fd9b5a5</x:v>
      </x:c>
      <x:c r="O457" s="8"/>
      <x:c r="P457" s="8"/>
      <x:c r="Q457" s="8"/>
      <x:c r="R457" s="8"/>
    </x:row>
    <x:row r="458" ht="90" customHeight="1">
      <x:c r="A458" s="4" t="str">
        <x:v>P454</x:v>
      </x:c>
      <x:c r="B458" s="4" t="str">
        <x:v>PureCozy Alfombra para salón, 160 x 230 cm, color gris, pelo corto | Alfombra mullida antideslizante de pelo corto para habitación de niños y dormitorio</x:v>
      </x:c>
      <x:c r="C458" s="4" t="str">
        <x:v>客厅地毯</x:v>
      </x:c>
      <x:c r="D458" s="4" t="str">
        <x:v>地面铺设与装饰</x:v>
      </x:c>
      <x:c r="E458" s="4" t="str">
        <x:v>保留</x:v>
      </x:c>
      <x:c r="F458" s="4" t="str"/>
      <x:c r="G458" s="4" t="str">
        <x:v>3222773</x:v>
      </x:c>
      <x:c r="H458" s="4" t="str">
        <x:v>Alfombra</x:v>
      </x:c>
      <x:c r="I458" s="4" t="str">
        <x:v>same_type</x:v>
      </x:c>
      <x:c r="J458" s="4" t="str">
        <x:v>Action地毯直接对应，尺寸较大不自动变成家具整套</x:v>
      </x:c>
      <x:c r="K458" s="4" t="str">
        <x:v>防滑和绒感未验证</x:v>
      </x:c>
      <x:c r="L458" s="4" t="str">
        <x:v>https://www.amazon.es/PureCozy-Alfombra-antideslizante-habitaci%C3%B3n-dormitorio/dp/B0H5L1LPDM?psc=1</x:v>
      </x:c>
      <x:c r="M458" s="4" t="str">
        <x:v>B0_84bacc4c6b66_016386</x:v>
      </x:c>
      <x:c r="N458" s="4" t="str">
        <x:v>a390698b1bc86e5ee7b1bf1f5b0f7ba96c82ca059b50bd2f11336e267e3e3c53</x:v>
      </x:c>
      <x:c r="O458" s="8"/>
      <x:c r="P458" s="8"/>
      <x:c r="Q458" s="8"/>
      <x:c r="R458" s="8"/>
    </x:row>
    <x:row r="459" ht="90" customHeight="1">
      <x:c r="A459" s="4" t="str">
        <x:v>P455</x:v>
      </x:c>
      <x:c r="B459" s="4" t="str">
        <x:v>Regalos Originales para Mujer Tazas de Café Regalo Cumpleaños para Ella Tazas Te Expreso Personalizadas Regalos Boda Amistad Adorables Tazas de Vidrio Doble Pared Regalos Navidad Accesorios Rosados</x:v>
      </x:c>
      <x:c r="C459" s="4" t="str">
        <x:v>双层玻璃礼品杯</x:v>
      </x:c>
      <x:c r="D459" s="4" t="str">
        <x:v>饮用咖啡或茶</x:v>
      </x:c>
      <x:c r="E459" s="4" t="str">
        <x:v>保留</x:v>
      </x:c>
      <x:c r="F459" s="4" t="str"/>
      <x:c r="G459" s="4" t="str">
        <x:v>3208913</x:v>
      </x:c>
      <x:c r="H459" s="4" t="str">
        <x:v>Taza de vidrio</x:v>
      </x:c>
      <x:c r="I459" s="4" t="str">
        <x:v>related_type</x:v>
      </x:c>
      <x:c r="J459" s="4" t="str">
        <x:v>Action玻璃杯支持杯具主体，不把宽泛礼物词当主体</x:v>
      </x:c>
      <x:c r="K459" s="4" t="str">
        <x:v>附带粉色配件和定制方式不明</x:v>
      </x:c>
      <x:c r="L459" s="4" t="str">
        <x:v>https://www.amazon.es/Originales-Cumplea%C3%B1os-Personalizadas-Adorables-Accesorios/dp/B0F6YKCK7T?psc=1</x:v>
      </x:c>
      <x:c r="M459" s="4" t="str">
        <x:v>B0_84bacc4c6b66_014893</x:v>
      </x:c>
      <x:c r="N459" s="4" t="str">
        <x:v>0dbacd806dfb655074d03c8e6a6abc5144748f8d55451ba27961f049709cf051</x:v>
      </x:c>
      <x:c r="O459" s="8"/>
      <x:c r="P459" s="8"/>
      <x:c r="Q459" s="8"/>
      <x:c r="R459" s="8"/>
    </x:row>
    <x:row r="460" ht="90" customHeight="1">
      <x:c r="A460" s="4" t="str">
        <x:v>P456</x:v>
      </x:c>
      <x:c r="B460" s="4" t="str">
        <x:v>Blooven 8 Metros 20 mm Auto Adhesivo Cinta Rollo Hook y Loop Tape Gancho y Cinta de Lazo (20 mm x 8 m, Blanco)</x:v>
      </x:c>
      <x:c r="C460" s="4" t="str">
        <x:v>自黏魔术贴带</x:v>
      </x:c>
      <x:c r="D460" s="4" t="str">
        <x:v>可重复闭合固定物件</x:v>
      </x:c>
      <x:c r="E460" s="4" t="str">
        <x:v>保留</x:v>
      </x:c>
      <x:c r="F460" s="4" t="str"/>
      <x:c r="G460" s="4" t="str">
        <x:v>3205640</x:v>
      </x:c>
      <x:c r="H460" s="4" t="str">
        <x:v>Cinta de cierre de gancho y bucle autoadhesiva</x:v>
      </x:c>
      <x:c r="I460" s="4" t="str">
        <x:v>same_type</x:v>
      </x:c>
      <x:c r="J460" s="4" t="str">
        <x:v>Action自黏钩环扣带与商品直接对应</x:v>
      </x:c>
      <x:c r="K460" s="4" t="str">
        <x:v>黏着力和耐久性未实测</x:v>
      </x:c>
      <x:c r="L460" s="4" t="str">
        <x:v>https://www.amazon.es/Blooven-Velcro-Adhesivo-Gancho-Blanco/dp/B07DN6KQTT?psc=1</x:v>
      </x:c>
      <x:c r="M460" s="4" t="str">
        <x:v>B0_84bacc4c6b66_002936</x:v>
      </x:c>
      <x:c r="N460" s="4" t="str">
        <x:v>dd526cbf27620a7a5e2ceebceb58bc024405fcb816b9c19417f46b51c4f2af9c</x:v>
      </x:c>
      <x:c r="O460" s="8"/>
      <x:c r="P460" s="8"/>
      <x:c r="Q460" s="8"/>
      <x:c r="R460" s="8"/>
    </x:row>
    <x:row r="461" ht="90" customHeight="1">
      <x:c r="A461" s="4" t="str">
        <x:v>P457</x:v>
      </x:c>
      <x:c r="B461" s="4" t="str">
        <x:v>Stanley STST1-71197 Organizador Doble, Negro/ Blanco/ Amarillo</x:v>
      </x:c>
      <x:c r="C461" s="4" t="str">
        <x:v>双结构收纳器</x:v>
      </x:c>
      <x:c r="D461" s="4" t="str">
        <x:v>分隔整理物品</x:v>
      </x:c>
      <x:c r="E461" s="4" t="str">
        <x:v>保留</x:v>
      </x:c>
      <x:c r="F461" s="4" t="str"/>
      <x:c r="G461" s="4" t="str">
        <x:v>3016572</x:v>
      </x:c>
      <x:c r="H461" s="4" t="str">
        <x:v>Organizador de doble cara Werckmann</x:v>
      </x:c>
      <x:c r="I461" s="4" t="str">
        <x:v>related_type</x:v>
      </x:c>
      <x:c r="J461" s="4" t="str">
        <x:v>Action双面整理器提供相关类型，但本品Doble未明确双面或双层，不补写工具箱用途</x:v>
      </x:c>
      <x:c r="K461" s="4" t="str">
        <x:v>内部结构和存放对象未说明</x:v>
      </x:c>
      <x:c r="L461" s="4" t="str">
        <x:v>https://www.amazon.es/Stanley-STST1-71197-Organizador-Sort-Master/dp/B00CPZ3KZA?psc=1</x:v>
      </x:c>
      <x:c r="M461" s="4" t="str">
        <x:v>B0_84bacc4c6b66_019051</x:v>
      </x:c>
      <x:c r="N461" s="4" t="str">
        <x:v>716040191154b738be0391aa88d8658400e3fd573d8a339fabb1a111ecd88584</x:v>
      </x:c>
      <x:c r="O461" s="8"/>
      <x:c r="P461" s="8"/>
      <x:c r="Q461" s="8"/>
      <x:c r="R461" s="8"/>
    </x:row>
    <x:row r="462" ht="90" customHeight="1">
      <x:c r="A462" s="4" t="str">
        <x:v>P458</x:v>
      </x:c>
      <x:c r="B462" s="4" t="str">
        <x:v>OXO Good Grips Dispensador pequeño de aliño para ensaladas con dosificador</x:v>
      </x:c>
      <x:c r="C462" s="4" t="str">
        <x:v>沙拉调味汁分配器</x:v>
      </x:c>
      <x:c r="D462" s="4" t="str">
        <x:v>定量倾倒沙拉调味汁</x:v>
      </x:c>
      <x:c r="E462" s="4" t="str">
        <x:v>保留</x:v>
      </x:c>
      <x:c r="F462" s="4" t="str"/>
      <x:c r="G462" s="4" t="str">
        <x:v>3218089</x:v>
      </x:c>
      <x:c r="H462" s="4" t="str">
        <x:v>Aceitera y vinagrera</x:v>
      </x:c>
      <x:c r="I462" s="4" t="str">
        <x:v>related_type</x:v>
      </x:c>
      <x:c r="J462" s="4" t="str">
        <x:v>Action油醋瓶支持食用液体倾倒容器类型，比皂液器用途更贴切</x:v>
      </x:c>
      <x:c r="K462" s="4" t="str">
        <x:v>黏稠酱汁兼容及计量精度未知</x:v>
      </x:c>
      <x:c r="L462" s="4" t="str">
        <x:v>https://www.amazon.es/OXO-Dispensador-peque%C3%B1o-ensaladas-dosificador/dp/B00CYDEC8W/ref=sr_1_2769?dib=eyJ2IjoiMSJ9.cSvHoTCjaVq-kaFJ55K_dSK6XvgRVrFF2DxhfJ8UlA97oQHnrsNgep3uzw_-ZNNmlcjp4md6HVLVLVpeZx9GR-YDu_EsG0_kamwIRSyU2YpQ44VPggGNnMzp5frj_2aImUKQtV-6P0cfRspPLjB3JSkaAAxDnmgp-IpIa8JlsuJv4xZoGjRaP6vnpm7xcCHf7ARXzTvBxPD7TwQe-SP2zwm7WG5ulzfQFoFnA2z9KI3ZG1cUJ5zKYLY-iyNCjqb-yCwNZGbodvjbIdiBw-4rXtzPIvlM0G_9ZdMRpMtF7Hw.1LIo9c-46blrpado0a1Y-6p0aAe9JV2cb13P2gj9OJE&amp;dib_tag=se&amp;qid=1792599096&amp;s=kitchen&amp;sr=1-2769&amp;srs=88626813031&amp;xpid=CeuYXw3Vdr0Bg</x:v>
      </x:c>
      <x:c r="M462" s="4" t="str">
        <x:v>B0_84bacc4c6b66_014590</x:v>
      </x:c>
      <x:c r="N462" s="4" t="str">
        <x:v>37654b8f7ddfcfbf2cac7827d7482feb2dd338651e711562a2591908b9209b07</x:v>
      </x:c>
      <x:c r="O462" s="8"/>
      <x:c r="P462" s="8"/>
      <x:c r="Q462" s="8"/>
      <x:c r="R462" s="8"/>
    </x:row>
    <x:row r="463" ht="90" customHeight="1">
      <x:c r="A463" s="4" t="str">
        <x:v>P459</x:v>
      </x:c>
      <x:c r="B463" s="4" t="str">
        <x:v>Besttoolifes Cepillo de repuesto resistente para manchas, para limpiadores de alfombras verticales y portátiles Bissell, se adapta a 1400B 1425 y más, herramienta de cepillo de manchas resistente de 3</x:v>
      </x:c>
      <x:c r="C463" s="4" t="str">
        <x:v>地毯清洁机替换刷头</x:v>
      </x:c>
      <x:c r="D463" s="4" t="str">
        <x:v>配合兼容清洁机去除污渍</x:v>
      </x:c>
      <x:c r="E463" s="4" t="str">
        <x:v>观察</x:v>
      </x:c>
      <x:c r="F463" s="4" t="str">
        <x:v>专用或安装配件</x:v>
      </x:c>
      <x:c r="G463" s="4" t="str">
        <x:v>2504548</x:v>
      </x:c>
      <x:c r="H463" s="4" t="str">
        <x:v>Boquilla aspiradora</x:v>
      </x:c>
      <x:c r="I463" s="4" t="str">
        <x:v>related_type</x:v>
      </x:c>
      <x:c r="J463" s="4" t="str">
        <x:v>Action吸尘器吸嘴提供相关设备清洁头类型，不证明Bissell接口兼容</x:v>
      </x:c>
      <x:c r="K463" s="4" t="str">
        <x:v>型号和接口适配未知，标题截断</x:v>
      </x:c>
      <x:c r="L463" s="4" t="str">
        <x:v>https://www.amazon.es/Besttoolifes-resistente-limpiadores-verticales-herramienta/dp/B0F1FLDQ2W?psc=1</x:v>
      </x:c>
      <x:c r="M463" s="4" t="str">
        <x:v>B0_84bacc4c6b66_002763</x:v>
      </x:c>
      <x:c r="N463" s="4" t="str">
        <x:v>e11aa99cdfe7a98e2d1ea12d9148bcd6d260908fe5335c6b208225c718401a42</x:v>
      </x:c>
      <x:c r="O463" s="8"/>
      <x:c r="P463" s="8"/>
      <x:c r="Q463" s="8"/>
      <x:c r="R463" s="8"/>
    </x:row>
    <x:row r="464" ht="90" customHeight="1">
      <x:c r="A464" s="4" t="str">
        <x:v>P460</x:v>
      </x:c>
      <x:c r="B464" s="4" t="str">
        <x:v>QIACHIP Mini Interruptor de luz Control Remoto Inalámbrico 12V 433 MHz | receptor universal con mando a distancia para Luces LED navideñas,bomba de agua,1 Canal Relé,cableado sencillo</x:v>
      </x:c>
      <x:c r="C464" s="4" t="str">
        <x:v>无线遥控继电开关</x:v>
      </x:c>
      <x:c r="D464" s="4" t="str">
        <x:v>控制兼容灯或水泵通断</x:v>
      </x:c>
      <x:c r="E464" s="4" t="str">
        <x:v>观察</x:v>
      </x:c>
      <x:c r="F464" s="4" t="str">
        <x:v>专用或安装配件</x:v>
      </x:c>
      <x:c r="G464" s="4" t="str"/>
      <x:c r="H464" s="4" t="str"/>
      <x:c r="I464" s="4" t="str">
        <x:v>none</x:v>
      </x:c>
      <x:c r="J464" s="4" t="str">
        <x:v>主体是接线式控制构件，灯串和泵是负载，不是销售主体</x:v>
      </x:c>
      <x:c r="K464" s="4" t="str">
        <x:v>12V接线和电流限制需确认</x:v>
      </x:c>
      <x:c r="L464" s="4" t="str">
        <x:v>https://www.amazon.es/QIACHIP-Interruptor-Inal%C3%A1mbrico-DC-Transmisor/dp/B0FP4XPMGZ?psc=1</x:v>
      </x:c>
      <x:c r="M464" s="4" t="str">
        <x:v>B0_84bacc4c6b66_016467</x:v>
      </x:c>
      <x:c r="N464" s="4" t="str">
        <x:v>99171a4400e585d95510f0871eebb798616242daa69a3eb353f99eba3e5e1bae</x:v>
      </x:c>
      <x:c r="O464" s="8"/>
      <x:c r="P464" s="8"/>
      <x:c r="Q464" s="8"/>
      <x:c r="R464" s="8"/>
    </x:row>
    <x:row r="465" ht="90" customHeight="1">
      <x:c r="A465" s="4" t="str">
        <x:v>P461</x:v>
      </x:c>
      <x:c r="B465" s="4" t="str">
        <x:v>nice homeit Juego de 2 Toallas de baño Grandes 100 x 150 cm – Extra Large Toalla de baño 100% algodón Hilado en Anillo – Extra Suave y Absorbente Made in Italy (Azul)</x:v>
      </x:c>
      <x:c r="C465" s="4" t="str">
        <x:v>大浴巾套装</x:v>
      </x:c>
      <x:c r="D465" s="4" t="str">
        <x:v>洗浴后擦干身体</x:v>
      </x:c>
      <x:c r="E465" s="4" t="str">
        <x:v>保留</x:v>
      </x:c>
      <x:c r="F465" s="4" t="str"/>
      <x:c r="G465" s="4" t="str">
        <x:v>3207119</x:v>
      </x:c>
      <x:c r="H465" s="4" t="str">
        <x:v>Toalla de baño</x:v>
      </x:c>
      <x:c r="I465" s="4" t="str">
        <x:v>same_type</x:v>
      </x:c>
      <x:c r="J465" s="4" t="str">
        <x:v>Action浴巾与主体同类</x:v>
      </x:c>
      <x:c r="K465" s="4" t="str">
        <x:v>产地和吸水表现未核实</x:v>
      </x:c>
      <x:c r="L465" s="4" t="str">
        <x:v>https://www.amazon.es/nice-homeit-Juego-Toallas-Grandes/dp/B0F3PG1HGY?psc=1</x:v>
      </x:c>
      <x:c r="M465" s="4" t="str">
        <x:v>B0_84bacc4c6b66_024446</x:v>
      </x:c>
      <x:c r="N465" s="4" t="str">
        <x:v>5a374089e84002085da092f973c49b3c20714a3a824055e890cbde411d7298e2</x:v>
      </x:c>
      <x:c r="O465" s="8"/>
      <x:c r="P465" s="8"/>
      <x:c r="Q465" s="8"/>
      <x:c r="R465" s="8"/>
    </x:row>
    <x:row r="466" ht="90" customHeight="1">
      <x:c r="A466" s="4" t="str">
        <x:v>P462</x:v>
      </x:c>
      <x:c r="B466" s="4" t="str">
        <x:v>Toddmomy Estante Esquinero de Pared Triangular de 3 Niveles en Metal | Acabado Mármol Blanco, Superficie Lisa E, Fácil Limpieza, Adecuado para Baño y Ducha</x:v>
      </x:c>
      <x:c r="C466" s="4" t="str">
        <x:v>浴室转角收纳架</x:v>
      </x:c>
      <x:c r="D466" s="4" t="str">
        <x:v>放置洗浴用品</x:v>
      </x:c>
      <x:c r="E466" s="4" t="str">
        <x:v>保留</x:v>
      </x:c>
      <x:c r="F466" s="4" t="str"/>
      <x:c r="G466" s="4" t="str">
        <x:v>3016459</x:v>
      </x:c>
      <x:c r="H466" s="4" t="str">
        <x:v>Estantería de ducha</x:v>
      </x:c>
      <x:c r="I466" s="4" t="str">
        <x:v>related_type</x:v>
      </x:c>
      <x:c r="J466" s="4" t="str">
        <x:v>Action淋浴架支持浴室收纳用品类型，不把大理石纹理当真实石材</x:v>
      </x:c>
      <x:c r="K466" s="4" t="str">
        <x:v>尺寸承载与安装条件未说明</x:v>
      </x:c>
      <x:c r="L466" s="4" t="str">
        <x:v>https://www.amazon.es/Toddmomy-Esquinero-Triangular-Superficie-Limpieza/dp/B0HLB8SRFY?psc=1</x:v>
      </x:c>
      <x:c r="M466" s="4" t="str">
        <x:v>B0_84bacc4c6b66_020164</x:v>
      </x:c>
      <x:c r="N466" s="4" t="str">
        <x:v>f12f950b121aa8ba91175a73f54f02c9cfe15247405345ee9076d6ecc65303b0</x:v>
      </x:c>
      <x:c r="O466" s="8"/>
      <x:c r="P466" s="8"/>
      <x:c r="Q466" s="8"/>
      <x:c r="R466" s="8"/>
    </x:row>
    <x:row r="467" ht="90" customHeight="1">
      <x:c r="A467" s="4" t="str">
        <x:v>P463</x:v>
      </x:c>
      <x:c r="B467" s="4" t="str">
        <x:v>FytStycale Cubo de Basura con Ruedas, Ergonómico, Práctico, para El Hogar, Fácil de Mover.</x:v>
      </x:c>
      <x:c r="C467" s="4" t="str">
        <x:v>带轮垃圾桶</x:v>
      </x:c>
      <x:c r="D467" s="4" t="str">
        <x:v>收集并移动生活垃圾</x:v>
      </x:c>
      <x:c r="E467" s="4" t="str">
        <x:v>保留</x:v>
      </x:c>
      <x:c r="F467" s="4" t="str"/>
      <x:c r="G467" s="4" t="str">
        <x:v>2568410</x:v>
      </x:c>
      <x:c r="H467" s="4" t="str">
        <x:v>Cubo de basura</x:v>
      </x:c>
      <x:c r="I467" s="4" t="str">
        <x:v>same_type</x:v>
      </x:c>
      <x:c r="J467" s="4" t="str">
        <x:v>Action垃圾桶支持主体，轮子由本品标题明确，不凭轮子判工业垃圾设备</x:v>
      </x:c>
      <x:c r="K467" s="4" t="str">
        <x:v>容量尺寸未说明</x:v>
      </x:c>
      <x:c r="L467" s="4" t="str">
        <x:v>https://www.amazon.es/FytStycale-Basura-Ruedas-Ergon%C3%B3mico-Pr%C3%A1ctico/dp/B0G5JFQC5M?psc=1</x:v>
      </x:c>
      <x:c r="M467" s="4" t="str">
        <x:v>B0_84bacc4c6b66_008112</x:v>
      </x:c>
      <x:c r="N467" s="4" t="str">
        <x:v>03ae02d6bd19377febe85d0bc2f4b83dcc6d9365f4dd6b07f5fc615aaca64ddf</x:v>
      </x:c>
      <x:c r="O467" s="8"/>
      <x:c r="P467" s="8"/>
      <x:c r="Q467" s="8"/>
      <x:c r="R467" s="8"/>
    </x:row>
    <x:row r="468" ht="90" customHeight="1">
      <x:c r="A468" s="4" t="str">
        <x:v>P464</x:v>
      </x:c>
      <x:c r="B468" s="4" t="str">
        <x:v>Bosch PRO Decapador por aire caliente a batería GHG 18V-50 | Pistola de aire caliente flexible de 18 V para trabajar en cualquier lugar GHG 18V-50 + L-BOXX136</x:v>
      </x:c>
      <x:c r="C468" s="4" t="str">
        <x:v>电池热风枪</x:v>
      </x:c>
      <x:c r="D468" s="4" t="str">
        <x:v>加热处理工件表面</x:v>
      </x:c>
      <x:c r="E468" s="4" t="str">
        <x:v>观察</x:v>
      </x:c>
      <x:c r="F468" s="4" t="str">
        <x:v>经营边界未确认</x:v>
      </x:c>
      <x:c r="G468" s="4" t="str">
        <x:v>2568757</x:v>
      </x:c>
      <x:c r="H468" s="4" t="str">
        <x:v>Pistola de aire caliente FERM</x:v>
      </x:c>
      <x:c r="I468" s="4" t="str">
        <x:v>same_type</x:v>
      </x:c>
      <x:c r="J468" s="4" t="str">
        <x:v>Action热风枪为同类参照，电动工具边界仍待确认</x:v>
      </x:c>
      <x:c r="K468" s="4" t="str">
        <x:v>是否附电池和工作温度未明确</x:v>
      </x:c>
      <x:c r="L468" s="4" t="str">
        <x:v>https://www.amazon.es/Bosch-Decapador-caliente-cualquier-L-BOXX136/dp/B09PTV2HTX?psc=1</x:v>
      </x:c>
      <x:c r="M468" s="4" t="str">
        <x:v>B0_84bacc4c6b66_003217</x:v>
      </x:c>
      <x:c r="N468" s="4" t="str">
        <x:v>f7ce5e0e0880a092e5ace543528ffe5c0b0fd57389230afa05a7b94ac36d392e</x:v>
      </x:c>
      <x:c r="O468" s="8"/>
      <x:c r="P468" s="8"/>
      <x:c r="Q468" s="8"/>
      <x:c r="R468" s="8"/>
    </x:row>
    <x:row r="469" ht="90" customHeight="1">
      <x:c r="A469" s="4" t="str">
        <x:v>P465</x:v>
      </x:c>
      <x:c r="B469" s="4" t="str">
        <x:v>The Pure Factory | Humidificador 8L | Control de Humedad Eficiente para Espacios Grandes y Medianos | Ayuda a prevenir problemas respiratorios y mejora la calidad del aire en tu hogar</x:v>
      </x:c>
      <x:c r="C469" s="4" t="str">
        <x:v>室内加湿器</x:v>
      </x:c>
      <x:c r="D469" s="4" t="str">
        <x:v>调节室内湿度</x:v>
      </x:c>
      <x:c r="E469" s="4" t="str">
        <x:v>观察</x:v>
      </x:c>
      <x:c r="F469" s="4" t="str">
        <x:v>经营边界未确认</x:v>
      </x:c>
      <x:c r="G469" s="4" t="str"/>
      <x:c r="H469" s="4" t="str"/>
      <x:c r="I469" s="4" t="str">
        <x:v>none</x:v>
      </x:c>
      <x:c r="J469" s="4" t="str">
        <x:v>主体为加湿设备，宣传的呼吸健康效果不是已确认事实</x:v>
      </x:c>
      <x:c r="K469" s="4" t="str">
        <x:v>加湿方式和健康效果未核实</x:v>
      </x:c>
      <x:c r="L469" s="4" t="str">
        <x:v>https://www.amazon.es/Pure-Factory-Humidificador-Eficiente-respiratorios/dp/B0DG65PKV9?psc=1</x:v>
      </x:c>
      <x:c r="M469" s="4" t="str">
        <x:v>B0_84bacc4c6b66_016381</x:v>
      </x:c>
      <x:c r="N469" s="4" t="str">
        <x:v>8e258c10902f414630db56e57e783cff108b82b2b96fa9139bfbacafb6eed6ed</x:v>
      </x:c>
      <x:c r="O469" s="8"/>
      <x:c r="P469" s="8"/>
      <x:c r="Q469" s="8"/>
      <x:c r="R469" s="8"/>
    </x:row>
    <x:row r="470" ht="90" customHeight="1">
      <x:c r="A470" s="4" t="str">
        <x:v>P466</x:v>
      </x:c>
      <x:c r="B470" s="4" t="str">
        <x:v>Dyson Cabezal de aspiradora de turbina de accionamiento Directo V10, SV12, V11, SV14 y SV15 Cyclone, aspiradora inalámbrica</x:v>
      </x:c>
      <x:c r="C470" s="4" t="str">
        <x:v>吸尘器驱动刷头</x:v>
      </x:c>
      <x:c r="D470" s="4" t="str">
        <x:v>配合兼容吸尘器清洁地面</x:v>
      </x:c>
      <x:c r="E470" s="4" t="str">
        <x:v>观察</x:v>
      </x:c>
      <x:c r="F470" s="4" t="str">
        <x:v>专用或安装配件</x:v>
      </x:c>
      <x:c r="G470" s="4" t="str">
        <x:v>2504548</x:v>
      </x:c>
      <x:c r="H470" s="4" t="str">
        <x:v>Boquilla aspiradora</x:v>
      </x:c>
      <x:c r="I470" s="4" t="str">
        <x:v>related_type</x:v>
      </x:c>
      <x:c r="J470" s="4" t="str">
        <x:v>Action吸尘器吸嘴只支持清洁头相关类型，牙刷头或淋浴头无关</x:v>
      </x:c>
      <x:c r="K470" s="4" t="str">
        <x:v>机型适配和驱动结构待核对</x:v>
      </x:c>
      <x:c r="L470" s="4" t="str">
        <x:v>https://www.amazon.es/Dyson-V10-V12-inal%C3%A1mbrica-Herramienta/dp/B07K34FTFV/ref=sr_1_1666?dib=eyJ2IjoiMSJ9.r8qcu_wZVifB21I8KPjgzri4AaEeNVmoPdd4Ma37CrVbA-g2Obaqg-dpUtBjT19lWp5KEkb7FEWB_P3794JUV9iGrRUxhtFyrkiYizMw2ifhRIa-7W1OX3LGIXNxjpiuSb0HoSfTlciZ8zAZvvHKIGgWrK3LJLu4l6uhNys1InxOOoQlp87PRl6yeHIcn8fwSt530BpLPpq-7rRBI95T_tBhZqwoGMsrdUFqNHdmdDqFn6zZ4DKxzbuuAweH6G6ALW108DzlQT4DLVOxPObhtOV6_MwBVeadNuDeAhojAas.eqm6Sf6OuIf53jMMymQVZ99O3evoyPCWeQ14WeFh_uI&amp;dib_tag=se&amp;qid=1792650199&amp;s=kitchen&amp;sr=1-1666&amp;srs=88626813031&amp;xpid=qpnO31ULD-dQ4</x:v>
      </x:c>
      <x:c r="M470" s="4" t="str">
        <x:v>B0_84bacc4c6b66_006464</x:v>
      </x:c>
      <x:c r="N470" s="4" t="str">
        <x:v>9b7d6d53be6fb253ba261af1a60b6747f06881692be4808e6560af4c47354c7f</x:v>
      </x:c>
      <x:c r="O470" s="8"/>
      <x:c r="P470" s="8"/>
      <x:c r="Q470" s="8"/>
      <x:c r="R470" s="8"/>
    </x:row>
    <x:row r="471" ht="90" customHeight="1">
      <x:c r="A471" s="4" t="str">
        <x:v>P467</x:v>
      </x:c>
      <x:c r="B471" s="4" t="str">
        <x:v>Amazon Basics Irregular Joyero de cuatro pisos con forma de árbol, blanco/níquel</x:v>
      </x:c>
      <x:c r="C471" s="4" t="str">
        <x:v>树形首饰收纳器</x:v>
      </x:c>
      <x:c r="D471" s="4" t="str">
        <x:v>展示并整理首饰</x:v>
      </x:c>
      <x:c r="E471" s="4" t="str">
        <x:v>保留</x:v>
      </x:c>
      <x:c r="F471" s="4" t="str"/>
      <x:c r="G471" s="4" t="str">
        <x:v>3215077</x:v>
      </x:c>
      <x:c r="H471" s="4" t="str">
        <x:v>Joyero</x:v>
      </x:c>
      <x:c r="I471" s="4" t="str">
        <x:v>related_type</x:v>
      </x:c>
      <x:c r="J471" s="4" t="str">
        <x:v>Action首饰收纳用品支持明确首饰整理需求，不把树形当圣诞树主体</x:v>
      </x:c>
      <x:c r="K471" s="4" t="str">
        <x:v>具体结构和尺寸未知</x:v>
      </x:c>
      <x:c r="L471" s="4" t="str">
        <x:v>https://www.amazon.es/AmazonBasics-Joyero-cuatro-blanco-n%C3%ADquel/dp/B082B4QZJB/ref=sr_1_2655?dib=eyJ2IjoiMSJ9.HNb1HQ2yo7dCHFhxN9VooVPZn_2WsIHcvEusJHsOk6sChMWPTobjaTDchLNZocN-uAhWEpJfiuP2psAF7ZjaGI7Np7GIyGL1Ygczh7ax6ERwRJLqskbSohAPdBKLc7HPntRNJlns4x-lA9m8_ffTLFBcRcM62SOANvQfF8nzt5mtzU9mbevWsDTAJJNQwbWdPsAEkQq1Zp3GfOWeXnFWThOTnUPRUYZCmwi0yslQZAlaZ3olheZYJcoerBG4JznknvxjE_tvPgyFZTforqQfUIdO6JlBh8ySszkxdrwXQ0s.eWZJqCLxmyrlvK0ZcVYJxsP_ospUFU_CbR1CWtX1wQ4&amp;dib_tag=se&amp;qid=1792651096&amp;s=kitchen&amp;sr=1-2655&amp;srs=88626813031&amp;xpid=qpnO31ULD-dQ4</x:v>
      </x:c>
      <x:c r="M471" s="4" t="str">
        <x:v>B0_84bacc4c6b66_001482</x:v>
      </x:c>
      <x:c r="N471" s="4" t="str">
        <x:v>afcb37c45e98ffdddf8499c752471d1df3f0d5d01b84bc2ca59e061c4c6b08c0</x:v>
      </x:c>
      <x:c r="O471" s="8"/>
      <x:c r="P471" s="8"/>
      <x:c r="Q471" s="8"/>
      <x:c r="R471" s="8"/>
    </x:row>
    <x:row r="472" ht="90" customHeight="1">
      <x:c r="A472" s="4" t="str">
        <x:v>P468</x:v>
      </x:c>
      <x:c r="B472" s="4" t="str">
        <x:v>Tramontina Juego de Cuchillos Dentados para Carne con Mangos de Polipropileno Color Rojo Plenus 6 unidades</x:v>
      </x:c>
      <x:c r="C472" s="4" t="str">
        <x:v>锯齿餐肉刀套装</x:v>
      </x:c>
      <x:c r="D472" s="4" t="str">
        <x:v>切割食用肉类</x:v>
      </x:c>
      <x:c r="E472" s="4" t="str">
        <x:v>保留</x:v>
      </x:c>
      <x:c r="F472" s="4" t="str"/>
      <x:c r="G472" s="4" t="str">
        <x:v>3223026</x:v>
      </x:c>
      <x:c r="H472" s="4" t="str">
        <x:v>Cuchillos para carne Lou Laguiole</x:v>
      </x:c>
      <x:c r="I472" s="4" t="str">
        <x:v>same_type</x:v>
      </x:c>
      <x:c r="J472" s="4" t="str">
        <x:v>Action餐肉刀与主体同类</x:v>
      </x:c>
      <x:c r="K472" s="4" t="str">
        <x:v>锋利度和耐洗表现未核实</x:v>
      </x:c>
      <x:c r="L472" s="4" t="str">
        <x:v>https://www.amazon.es/Tramontina-Cuchillos-Dentados-Polipropileno-unidades/dp/B08SHTLSBF/ref=sr_1_2138?dib=eyJ2IjoiMSJ9.UFfjKC4jeQCTmNd55iOx7369EepN7Fi9y-Kq4DbT4UPNctv3jxah9WzpZDZIB0bJpOV1eZnrCe4EcwMR7gVsVvgNYy-1u2BoWRyYqONN0_e8YRS5H3WFgPtsjjBwf6SUshR3k98Z2GgMT6P-HkcFfkkaQlFanbkQOo9YSV9zemZqdeBbx5CwHrBF8jL1AdO7OVq8QA6PGiICvhZO3cb0wPZOf7QiHwhA7ZlZ9tWAB6fR5JVWserrMr-9QFU4r-y-dE2-ndb2Ey7N2HzVPXsM6WAknnW8W-fLQZV8OIzKr1A.isEUlXqB07tNb9j6GWIlSxQKvPHlZ5ZStF-kKg46MJk&amp;dib_tag=se&amp;qid=1792598447&amp;s=kitchen&amp;sr=1-2138&amp;srs=88626813031&amp;xpid=CeuYXw3Vdr0Bg</x:v>
      </x:c>
      <x:c r="M472" s="4" t="str">
        <x:v>B0_84bacc4c6b66_020292</x:v>
      </x:c>
      <x:c r="N472" s="4" t="str">
        <x:v>cd29fcaf86078cd612659e7309b407e53827544b1646c87c8136f301c5ea2806</x:v>
      </x:c>
      <x:c r="O472" s="8"/>
      <x:c r="P472" s="8"/>
      <x:c r="Q472" s="8"/>
      <x:c r="R472" s="8"/>
    </x:row>
    <x:row r="473" ht="90" customHeight="1">
      <x:c r="A473" s="4" t="str">
        <x:v>P469</x:v>
      </x:c>
      <x:c r="B473" s="4" t="str">
        <x:v>Cuerda de Yute Natural tosada 8 mm de Longitud 20 m, Cuerda para Manualidades, jardinería, decoración y artesanía</x:v>
      </x:c>
      <x:c r="C473" s="4" t="str">
        <x:v>黄麻绳</x:v>
      </x:c>
      <x:c r="D473" s="4" t="str">
        <x:v>手工装饰或园艺绑扎</x:v>
      </x:c>
      <x:c r="E473" s="4" t="str">
        <x:v>保留</x:v>
      </x:c>
      <x:c r="F473" s="4" t="str"/>
      <x:c r="G473" s="4" t="str">
        <x:v>2560873</x:v>
      </x:c>
      <x:c r="H473" s="4" t="str">
        <x:v>Cordel de yute</x:v>
      </x:c>
      <x:c r="I473" s="4" t="str">
        <x:v>same_type</x:v>
      </x:c>
      <x:c r="J473" s="4" t="str">
        <x:v>Action黄麻绳直接对应</x:v>
      </x:c>
      <x:c r="K473" s="4" t="str">
        <x:v>承重与户外寿命未知</x:v>
      </x:c>
      <x:c r="L473" s="4" t="str">
        <x:v>https://www.amazon.es/Longitud-Manualidades-jardiner%C3%ADa-decoraci%C3%B3n-artesan%C3%ADa/dp/B0CPC5MGFV?psc=1</x:v>
      </x:c>
      <x:c r="M473" s="4" t="str">
        <x:v>B0_84bacc4c6b66_012466</x:v>
      </x:c>
      <x:c r="N473" s="4" t="str">
        <x:v>96665c6ee0b04713bcc458c4fbb8c0d888548e7c49e57b4f893b92604355a26d</x:v>
      </x:c>
      <x:c r="O473" s="8"/>
      <x:c r="P473" s="8"/>
      <x:c r="Q473" s="8"/>
      <x:c r="R473" s="8"/>
    </x:row>
    <x:row r="474" ht="90" customHeight="1">
      <x:c r="A474" s="4" t="str">
        <x:v>P470</x:v>
      </x:c>
      <x:c r="B474" s="4" t="str">
        <x:v>FPIJMG Rodillo Texturizador Acrílico Ondas, 16 × 1 cm | Herramienta compacta para arcilla, pasta de modelar y fondant; crea un relieve de ondas uniforme en proyectos artesanales.</x:v>
      </x:c>
      <x:c r="C474" s="4" t="str">
        <x:v>波纹压纹滚筒</x:v>
      </x:c>
      <x:c r="D474" s="4" t="str">
        <x:v>给造型材料压出纹理</x:v>
      </x:c>
      <x:c r="E474" s="4" t="str">
        <x:v>观察</x:v>
      </x:c>
      <x:c r="F474" s="4" t="str">
        <x:v>缺少有效Action参照</x:v>
      </x:c>
      <x:c r="G474" s="4" t="str"/>
      <x:c r="H474" s="4" t="str"/>
      <x:c r="I474" s="4" t="str">
        <x:v>none</x:v>
      </x:c>
      <x:c r="J474" s="4" t="str">
        <x:v>用于泥料或翻糖纹理制作，不是按摩滚筒或涂墙滚筒</x:v>
      </x:c>
      <x:c r="K474" s="4" t="str">
        <x:v>食品接触适用性未核实</x:v>
      </x:c>
      <x:c r="L474" s="4" t="str">
        <x:v>https://www.amazon.es/FPIJMG-Rodillo-Texturizador-Acr%C3%ADlico-Ondas/dp/B0HDPNCJ8B?psc=1</x:v>
      </x:c>
      <x:c r="M474" s="4" t="str">
        <x:v>B0_84bacc4c6b66_007566</x:v>
      </x:c>
      <x:c r="N474" s="4" t="str">
        <x:v>bc8a52fb2501e5e3311540e38a0fab549e59b9b79382c385e0db7f90a91f8e55</x:v>
      </x:c>
      <x:c r="O474" s="8"/>
      <x:c r="P474" s="8"/>
      <x:c r="Q474" s="8"/>
      <x:c r="R474" s="8"/>
    </x:row>
    <x:row r="475" ht="90" customHeight="1">
      <x:c r="A475" s="4" t="str">
        <x:v>P471</x:v>
      </x:c>
      <x:c r="B475" s="4" t="str">
        <x:v>KETOTEK Medidor de Consumo Eléctrico Multifunción DC Carril Din 14-600V 63A | Contador Eléctrico, Medidor Consumo Eléctrico, Amperímetro Digital, Voltímetro, Medidor de Energía, para Solar/Bricolaje</x:v>
      </x:c>
      <x:c r="C475" s="4" t="str">
        <x:v>导轨电能测量装置</x:v>
      </x:c>
      <x:c r="D475" s="4" t="str">
        <x:v>测量电路电量电压电流</x:v>
      </x:c>
      <x:c r="E475" s="4" t="str">
        <x:v>观察</x:v>
      </x:c>
      <x:c r="F475" s="4" t="str">
        <x:v>专用或安装配件</x:v>
      </x:c>
      <x:c r="G475" s="4" t="str"/>
      <x:c r="H475" s="4" t="str"/>
      <x:c r="I475" s="4" t="str">
        <x:v>none</x:v>
      </x:c>
      <x:c r="J475" s="4" t="str">
        <x:v>主体是配电导轨仪表，太阳能灯仅共享solar场景</x:v>
      </x:c>
      <x:c r="K475" s="4" t="str">
        <x:v>直流接线与负载条件未知</x:v>
      </x:c>
      <x:c r="L475" s="4" t="str">
        <x:v>https://www.amazon.es/KETOTEK-El%C3%A9ctrico-Multifunci%C3%B3n-Amper%C3%ADmetro-Volt%C3%ADmetro/dp/B0HB4DJ4B8?psc=1</x:v>
      </x:c>
      <x:c r="M475" s="4" t="str">
        <x:v>B0_84bacc4c6b66_011112</x:v>
      </x:c>
      <x:c r="N475" s="4" t="str">
        <x:v>5af9c468736da4cc7f87d5a5a302449eefc2f6776ebf888fe711d2936e00438c</x:v>
      </x:c>
      <x:c r="O475" s="8"/>
      <x:c r="P475" s="8"/>
      <x:c r="Q475" s="8"/>
      <x:c r="R475" s="8"/>
    </x:row>
    <x:row r="476" ht="90" customHeight="1">
      <x:c r="A476" s="4" t="str">
        <x:v>P472</x:v>
      </x:c>
      <x:c r="B476" s="4" t="str">
        <x:v>Utopia Bedding Sabana Bajera 160x200x30 cm - Gris - (Cama 160) | Bolsillo Profundo - Certificado Oeko Tex - Microfibra de Poliéster Cepillado</x:v>
      </x:c>
      <x:c r="C476" s="4" t="str">
        <x:v>床笠</x:v>
      </x:c>
      <x:c r="D476" s="4" t="str">
        <x:v>覆盖并固定床垫</x:v>
      </x:c>
      <x:c r="E476" s="4" t="str">
        <x:v>保留</x:v>
      </x:c>
      <x:c r="F476" s="4" t="str"/>
      <x:c r="G476" s="4" t="str">
        <x:v>2559130</x:v>
      </x:c>
      <x:c r="H476" s="4" t="str">
        <x:v>Sábana bajera ajustable de punto Comfibeds</x:v>
      </x:c>
      <x:c r="I476" s="4" t="str">
        <x:v>same_type</x:v>
      </x:c>
      <x:c r="J476" s="4" t="str">
        <x:v>Action床笠直接对应，深袋指包覆床垫深度</x:v>
      </x:c>
      <x:c r="K476" s="4" t="str">
        <x:v>认证未独立核实</x:v>
      </x:c>
      <x:c r="L476" s="4" t="str">
        <x:v>https://www.amazon.es/Utopia-Bedding-Sabana-Bajera-160x200x30/dp/B0C5368S74?psc=1</x:v>
      </x:c>
      <x:c r="M476" s="4" t="str">
        <x:v>B0_84bacc4c6b66_020723</x:v>
      </x:c>
      <x:c r="N476" s="4" t="str">
        <x:v>13de2932e5076c5901f3e20aa334e326a26f33b8837045d0ab19dbfbc2b3d925</x:v>
      </x:c>
      <x:c r="O476" s="8"/>
      <x:c r="P476" s="8"/>
      <x:c r="Q476" s="8"/>
      <x:c r="R476" s="8"/>
    </x:row>
    <x:row r="477" ht="90" customHeight="1">
      <x:c r="A477" s="4" t="str">
        <x:v>P473</x:v>
      </x:c>
      <x:c r="B477" s="4" t="str">
        <x:v>Savento Cadena de bolsillo plana de 120 cm con mosquetón, cadena de repuesto, correa de hombro de metal, correa de hombro para mujer, bolso de mano, bolso de mano, bolso de mano, cadena, correa de</x:v>
      </x:c>
      <x:c r="C477" s="4" t="str">
        <x:v>包袋替换肩链</x:v>
      </x:c>
      <x:c r="D477" s="4" t="str">
        <x:v>悬挂携带包袋</x:v>
      </x:c>
      <x:c r="E477" s="4" t="str">
        <x:v>观察</x:v>
      </x:c>
      <x:c r="F477" s="4" t="str">
        <x:v>缺少有效Action参照</x:v>
      </x:c>
      <x:c r="G477" s="4" t="str"/>
      <x:c r="H477" s="4" t="str"/>
      <x:c r="I477" s="4" t="str">
        <x:v>none</x:v>
      </x:c>
      <x:c r="J477" s="4" t="str">
        <x:v>带钩肩链是通用包袋配件，不是手提包整件</x:v>
      </x:c>
      <x:c r="K477" s="4" t="str">
        <x:v>接口和承载未知，标题截断</x:v>
      </x:c>
      <x:c r="L477" s="4" t="str">
        <x:v>https://www.amazon.es/Savento-Cadena-bolsillo-mosquet%C3%B3n-repuesto/dp/B0H4ZHN7CP?psc=1</x:v>
      </x:c>
      <x:c r="M477" s="4" t="str">
        <x:v>B0_84bacc4c6b66_018327</x:v>
      </x:c>
      <x:c r="N477" s="4" t="str">
        <x:v>530bd21e26979143ab868031886546c1bad309f0cd8cd86da7c1efb3953a2b2f</x:v>
      </x:c>
      <x:c r="O477" s="8"/>
      <x:c r="P477" s="8"/>
      <x:c r="Q477" s="8"/>
      <x:c r="R477" s="8"/>
    </x:row>
    <x:row r="478" ht="90" customHeight="1">
      <x:c r="A478" s="4" t="str">
        <x:v>P474</x:v>
      </x:c>
      <x:c r="B478" s="4" t="str">
        <x:v>Utopia Bedding Cojín de apoyo lumbar, almohada de espuma viscoelástica para | Cojín de apoyo de espalda para silla de oficina, almohada de apoyo lumbar para coche, silla de oficina</x:v>
      </x:c>
      <x:c r="C478" s="4" t="str">
        <x:v>腰部支撑靠垫</x:v>
      </x:c>
      <x:c r="D478" s="4" t="str">
        <x:v>坐姿时支撑腰背</x:v>
      </x:c>
      <x:c r="E478" s="4" t="str">
        <x:v>保留</x:v>
      </x:c>
      <x:c r="F478" s="4" t="str"/>
      <x:c r="G478" s="4" t="str">
        <x:v>3216905</x:v>
      </x:c>
      <x:c r="H478" s="4" t="str">
        <x:v>Cojín lumbar C&amp;C</x:v>
      </x:c>
      <x:c r="I478" s="4" t="str">
        <x:v>same_type</x:v>
      </x:c>
      <x:c r="J478" s="4" t="str">
        <x:v>Action腰垫支持明确人体支撑用品主体</x:v>
      </x:c>
      <x:c r="K478" s="4" t="str">
        <x:v>人体工学及舒适性未验证</x:v>
      </x:c>
      <x:c r="L478" s="4" t="str">
        <x:v>https://www.amazon.es/Utopia-Bedding-almohada-viscoel%C3%A1stica-espalda/dp/B0GZKBZ3WS?psc=1</x:v>
      </x:c>
      <x:c r="M478" s="4" t="str">
        <x:v>B0_84bacc4c6b66_020727</x:v>
      </x:c>
      <x:c r="N478" s="4" t="str">
        <x:v>81f302a000e17fc183ff5e21d318b0caaaf97786c8517c9b9f6750bc9b7638a8</x:v>
      </x:c>
      <x:c r="O478" s="8"/>
      <x:c r="P478" s="8"/>
      <x:c r="Q478" s="8"/>
      <x:c r="R478" s="8"/>
    </x:row>
    <x:row r="479" ht="90" customHeight="1">
      <x:c r="A479" s="4" t="str">
        <x:v>P475</x:v>
      </x:c>
      <x:c r="B479" s="4" t="str">
        <x:v>Rowenta X-Force Flex 9.60 Allergy Parquet, Aspiradora Escoba Sin Cable 200W</x:v>
      </x:c>
      <x:c r="C479" s="4" t="str">
        <x:v>无线杆式吸尘器</x:v>
      </x:c>
      <x:c r="D479" s="4" t="str">
        <x:v>日常地面吸尘</x:v>
      </x:c>
      <x:c r="E479" s="4" t="str">
        <x:v>保留</x:v>
      </x:c>
      <x:c r="F479" s="4" t="str"/>
      <x:c r="G479" s="4" t="str">
        <x:v>3220407</x:v>
      </x:c>
      <x:c r="H479" s="4" t="str">
        <x:v>Aspiradora sin cables Beldray</x:v>
      </x:c>
      <x:c r="I479" s="4" t="str">
        <x:v>related_type</x:v>
      </x:c>
      <x:c r="J479" s="4" t="str">
        <x:v>Action无线吸尘器提供具体家用清洁设备参照，Escoba在本品标题明确</x:v>
      </x:c>
      <x:c r="K479" s="4" t="str">
        <x:v>过敏相关效果未核实</x:v>
      </x:c>
      <x:c r="L479" s="4" t="str">
        <x:v>https://www.amazon.es/Rowenta-Xforce-Flex-Allergy-RH2038/dp/B0BFBQ18K1/ref=sr_1_662_mod_primary_new?dib=eyJ2IjoiMSJ9.QvciD7zp2EPPiFR0r2-ouVRkdnd20hvnNhQIykqYuXR6JQmkgDRuMvKuwAMYoIStoooaVrMfeieMOeC60gBZLGrBfQ_QVHB990DP36Hq8MsI2buqalqoIrg4IAccZwZf1iTFnBmiZTvCNPEjf3uaJqk_JQ3_PuNCmB3UKVoqcqyhGwP7FTM-HvlEBIc-145_rYXqrFE7ELt2dqvcjxa_shbbzpPHsY0wr6mqHpE4G41431zqnpBA_ixHi0lNvr16zL3kakyIhyt5YWiRMVdJB-r55gJsPq-j64G1tqSG2XE.XdlYraM0ODn0o9_LI8peH0xhi049QjP2qMckvf6ofKo&amp;dib_tag=se&amp;qid=1792597183&amp;s=kitchen&amp;sbo=RZvfv%2F%2FHxDF%2BO5021pAnSA%3D%3D&amp;sr=1-662&amp;srs=88626813031&amp;xpid=CeuYXw3Vdr0Bg</x:v>
      </x:c>
      <x:c r="M479" s="4" t="str">
        <x:v>B0_84bacc4c6b66_017477</x:v>
      </x:c>
      <x:c r="N479" s="4" t="str">
        <x:v>5602a86e20299060d8fcf6b39cffa2c2449ddec45bd506076492c46c60e8bf82</x:v>
      </x:c>
      <x:c r="O479" s="8"/>
      <x:c r="P479" s="8"/>
      <x:c r="Q479" s="8"/>
      <x:c r="R479" s="8"/>
    </x:row>
    <x:row r="480" ht="90" customHeight="1">
      <x:c r="A480" s="4" t="str">
        <x:v>P476</x:v>
      </x:c>
      <x:c r="B480" s="4" t="str">
        <x:v>Filtro de Repuesto H para Purificador de aire WINIX. Filtro True HEPA H13 (99,999%) Filtro de Carbón activado. Compatible con WINIX ZERO S y 2020EU. Tecnología PlasmaWave y Filtración de 4 Etapas.</x:v>
      </x:c>
      <x:c r="C480" s="4" t="str">
        <x:v>空气净化器替换滤芯</x:v>
      </x:c>
      <x:c r="D480" s="4" t="str">
        <x:v>过滤兼容净化器中的空气</x:v>
      </x:c>
      <x:c r="E480" s="4" t="str">
        <x:v>观察</x:v>
      </x:c>
      <x:c r="F480" s="4" t="str">
        <x:v>专用或安装配件</x:v>
      </x:c>
      <x:c r="G480" s="4" t="str"/>
      <x:c r="H480" s="4" t="str"/>
      <x:c r="I480" s="4" t="str">
        <x:v>none</x:v>
      </x:c>
      <x:c r="J480" s="4" t="str">
        <x:v>销售滤芯而非净化器，标题提及整机技术不代表滤芯自带全部功能</x:v>
      </x:c>
      <x:c r="K480" s="4" t="str">
        <x:v>百分比效率和型号适配未验证</x:v>
      </x:c>
      <x:c r="L480" s="4" t="str">
        <x:v>https://www.amazon.es/Purificador-Compatible-Tecnolog%C3%ADa-PlasmaWave-Filtraci%C3%B3n/dp/B01JLT1OR8/ref=sr_1_1868?dib=eyJ2IjoiMSJ9.kBDsHP827cPbyt8vjikIu2-JOIMBuO-a2bi7KE2eXZixpeHUPxvK37R6aW5Ypxy8vS707BKohF-qNfg7NbRTCkigsGorN5CAQAYc3fIt1LuCtq6jAbIofQLDoBqNwvhnv_BxdNFzTAiyLPjDFTno_1OJ72dXh5DclzMNw1iDjsQWqrq4EnDWzxVvIAsITXc7EwiXRI93PfgqFRKoQ4nDzqvK1lphjSg5Hffbx0iRKITRRv0uhuGMCQq61fAJe1zAMUe3gSzN9lrL6F3tiXaI8w8sqHbnTuxyVkBhdfi0gjM.J26NMd_zIbw5yRqhevFt1xAdoQHzfwqADfR7BxspuCo&amp;dib_tag=se&amp;qid=1792598168&amp;s=kitchen&amp;sr=1-1868&amp;srs=88626813031&amp;xpid=CeuYXw3Vdr0Bg</x:v>
      </x:c>
      <x:c r="M480" s="4" t="str">
        <x:v>B0_84bacc4c6b66_016399</x:v>
      </x:c>
      <x:c r="N480" s="4" t="str">
        <x:v>d63c33a8f2e3aa94fe679dceefb3e6a53a854d16b096973954edd555dd584d0d</x:v>
      </x:c>
      <x:c r="O480" s="8"/>
      <x:c r="P480" s="8"/>
      <x:c r="Q480" s="8"/>
      <x:c r="R480" s="8"/>
    </x:row>
    <x:row r="481" ht="90" customHeight="1">
      <x:c r="A481" s="4" t="str">
        <x:v>P477</x:v>
      </x:c>
      <x:c r="B481" s="4" t="str">
        <x:v>lygooh Fundas universales para sillas de terciopelo elástico, con reposabrazos, extraíble, lavable, para cocina, comedor, banquete, boda, fiesta (2, beige)</x:v>
      </x:c>
      <x:c r="C481" s="4" t="str">
        <x:v>弹力椅套</x:v>
      </x:c>
      <x:c r="D481" s="4" t="str">
        <x:v>包覆保护椅面</x:v>
      </x:c>
      <x:c r="E481" s="4" t="str">
        <x:v>观察</x:v>
      </x:c>
      <x:c r="F481" s="4" t="str">
        <x:v>缺少有效Action参照</x:v>
      </x:c>
      <x:c r="G481" s="4" t="str"/>
      <x:c r="H481" s="4" t="str"/>
      <x:c r="I481" s="4" t="str">
        <x:v>none</x:v>
      </x:c>
      <x:c r="J481" s="4" t="str">
        <x:v>主体是椅子外罩，不是椅子整件，被套不属于同用途参照</x:v>
      </x:c>
      <x:c r="K481" s="4" t="str">
        <x:v>椅型与扶手适配未知</x:v>
      </x:c>
      <x:c r="L481" s="4" t="str">
        <x:v>https://www.amazon.es/lygooh-universales-terciopelo-reposabrazos-extra%C3%ADble/dp/B0GKWKMPH8?psc=1</x:v>
      </x:c>
      <x:c r="M481" s="4" t="str">
        <x:v>B0_84bacc4c6b66_024291</x:v>
      </x:c>
      <x:c r="N481" s="4" t="str">
        <x:v>ca843b9656fdb5ef046cc333caa09f4b33ecf01353f16fbdce3f091404f18897</x:v>
      </x:c>
      <x:c r="O481" s="8"/>
      <x:c r="P481" s="8"/>
      <x:c r="Q481" s="8"/>
      <x:c r="R481" s="8"/>
    </x:row>
    <x:row r="482" ht="90" customHeight="1">
      <x:c r="A482" s="4" t="str">
        <x:v>P478</x:v>
      </x:c>
      <x:c r="B482" s="4" t="str">
        <x:v>Kit de costura de belén DIY Patchwork, diseño hecho a mano inspirado en la | Incluye telas coloridas, decoraciones hechas a mano acogedoras, rústicas y de estilo campestre, una experiencia(D)</x:v>
      </x:c>
      <x:c r="C482" s="4" t="str">
        <x:v>圣诞马槽场景拼布套装</x:v>
      </x:c>
      <x:c r="D482" s="4" t="str">
        <x:v>缝制节日装饰</x:v>
      </x:c>
      <x:c r="E482" s="4" t="str">
        <x:v>观察</x:v>
      </x:c>
      <x:c r="F482" s="4" t="str">
        <x:v>缺少有效Action参照</x:v>
      </x:c>
      <x:c r="G482" s="4" t="str"/>
      <x:c r="H482" s="4" t="str"/>
      <x:c r="I482" s="4" t="str">
        <x:v>none</x:v>
      </x:c>
      <x:c r="J482" s="4" t="str">
        <x:v>明确DIY拼布活动，手部用品只是mano误匹配</x:v>
      </x:c>
      <x:c r="K482" s="4" t="str">
        <x:v>标题截断，成品式样与材料明细未完整</x:v>
      </x:c>
      <x:c r="L482" s="4" t="str">
        <x:v>https://www.amazon.es/costura-bel%C3%A9n-Patchwork-dise%C3%B1o-inspirado/dp/B0HDNYB458?psc=1</x:v>
      </x:c>
      <x:c r="M482" s="4" t="str">
        <x:v>B0_84bacc4c6b66_023580</x:v>
      </x:c>
      <x:c r="N482" s="4" t="str">
        <x:v>08dc2f152a2f18187ff34259dae1be6f78660e20119a8dce5c7962e968f3f495</x:v>
      </x:c>
      <x:c r="O482" s="8"/>
      <x:c r="P482" s="8"/>
      <x:c r="Q482" s="8"/>
      <x:c r="R482" s="8"/>
    </x:row>
    <x:row r="483" ht="90" customHeight="1">
      <x:c r="A483" s="4" t="str">
        <x:v>P479</x:v>
      </x:c>
      <x:c r="B483" s="4" t="str">
        <x:v>SoarYoolin Dispensador De Agua Fría y Caliente, 550W Potencia Calorífica | 75W Capacidad Refrigeración 3 Salidas Independientes Seguros De Seguridad Para Niños Garantizan La Seguridad Carga De Fondo</x:v>
      </x:c>
      <x:c r="C483" s="4" t="str">
        <x:v>冷热饮水机</x:v>
      </x:c>
      <x:c r="D483" s="4" t="str">
        <x:v>制备并分配冷热饮水</x:v>
      </x:c>
      <x:c r="E483" s="4" t="str">
        <x:v>观察</x:v>
      </x:c>
      <x:c r="F483" s="4" t="str">
        <x:v>经营边界未确认</x:v>
      </x:c>
      <x:c r="G483" s="4" t="str">
        <x:v>3217699</x:v>
      </x:c>
      <x:c r="H483" s="4" t="str">
        <x:v>Dispensador de agua caliente Tomado</x:v>
      </x:c>
      <x:c r="I483" s="4" t="str">
        <x:v>related_type</x:v>
      </x:c>
      <x:c r="J483" s="4" t="str">
        <x:v>Action热水分配器为相关饮水设备，本品明确冷却加热和底部装载，经营边界待确认</x:v>
      </x:c>
      <x:c r="K483" s="4" t="str">
        <x:v>水源接口和实际防烫机制未知</x:v>
      </x:c>
      <x:c r="L483" s="4" t="str">
        <x:v>https://www.amazon.es/SoarYoolin-Dispensador-Agua-Fr%C3%ADa-Caliente/dp/B0HKHF8M14?psc=1</x:v>
      </x:c>
      <x:c r="M483" s="4" t="str">
        <x:v>B0_84bacc4c6b66_018825</x:v>
      </x:c>
      <x:c r="N483" s="4" t="str">
        <x:v>b2879a9c69eadd6182f493ffd43a7ab87c9a94befbb5d820dac8351bb7193a56</x:v>
      </x:c>
      <x:c r="O483" s="8"/>
      <x:c r="P483" s="8"/>
      <x:c r="Q483" s="8"/>
      <x:c r="R483" s="8"/>
    </x:row>
    <x:row r="484" ht="90" customHeight="1">
      <x:c r="A484" s="4" t="str">
        <x:v>P480</x:v>
      </x:c>
      <x:c r="B484" s="4" t="str">
        <x:v>Alcancía Forma de Panda de Vinilo, Diseño de Dibujos Animados | Capacidad para Monedas y Cambio Diario, Decoración para Navidad y Año, Resistente y Apta para Monedas Estándar</x:v>
      </x:c>
      <x:c r="C484" s="4" t="str">
        <x:v>熊猫储蓄罐</x:v>
      </x:c>
      <x:c r="D484" s="4" t="str">
        <x:v>存放零钱</x:v>
      </x:c>
      <x:c r="E484" s="4" t="str">
        <x:v>保留</x:v>
      </x:c>
      <x:c r="F484" s="4" t="str"/>
      <x:c r="G484" s="4" t="str">
        <x:v>3209084</x:v>
      </x:c>
      <x:c r="H484" s="4" t="str">
        <x:v>Hucha</x:v>
      </x:c>
      <x:c r="I484" s="4" t="str">
        <x:v>same_type</x:v>
      </x:c>
      <x:c r="J484" s="4" t="str">
        <x:v>Action储蓄罐直接对应，卡通图案不是绘画工具</x:v>
      </x:c>
      <x:c r="K484" s="4" t="str">
        <x:v>容量未说明</x:v>
      </x:c>
      <x:c r="L484" s="4" t="str">
        <x:v>https://www.amazon.es/Alcanc%C3%ADa-Vinilo-Dise%C3%B1o-Dibujos-Animados/dp/B0HCRK2XKX?psc=1</x:v>
      </x:c>
      <x:c r="M484" s="4" t="str">
        <x:v>B0_84bacc4c6b66_001048</x:v>
      </x:c>
      <x:c r="N484" s="4" t="str">
        <x:v>2476e53cc0cf8bd048b4ef98e1e3f39d41cd0789be51e3ed0c71a3af7da9378d</x:v>
      </x:c>
      <x:c r="O484" s="8"/>
      <x:c r="P484" s="8"/>
      <x:c r="Q484" s="8"/>
      <x:c r="R484" s="8"/>
    </x:row>
    <x:row r="485" ht="90" customHeight="1">
      <x:c r="A485" s="4" t="str">
        <x:v>P481</x:v>
      </x:c>
      <x:c r="B485" s="4" t="str">
        <x:v>VASAGLE Mueble Bajo Lavabo, Mueble de Baño, Armario Bajo Lavabo, con 2 Puertas de Lamas, Mucho Almacenamiento, Estilo Moderno, 30 x 60 x 60 cm, Blanco BBC02WT</x:v>
      </x:c>
      <x:c r="C485" s="4" t="str">
        <x:v>洗手盆下收纳柜</x:v>
      </x:c>
      <x:c r="D485" s="4" t="str">
        <x:v>收纳浴室用品</x:v>
      </x:c>
      <x:c r="E485" s="4" t="str">
        <x:v>观察</x:v>
      </x:c>
      <x:c r="F485" s="4" t="str">
        <x:v>经营边界未确认</x:v>
      </x:c>
      <x:c r="G485" s="4" t="str">
        <x:v>3217564</x:v>
      </x:c>
      <x:c r="H485" s="4" t="str">
        <x:v>Armario</x:v>
      </x:c>
      <x:c r="I485" s="4" t="str">
        <x:v>related_type</x:v>
      </x:c>
      <x:c r="J485" s="4" t="str">
        <x:v>完整浴室柜而非袜子或下水构件，Action柜类可参考，家具边界待确认</x:v>
      </x:c>
      <x:c r="K485" s="4" t="str">
        <x:v>下水管避让和盆体适配未知</x:v>
      </x:c>
      <x:c r="L485" s="4" t="str">
        <x:v>https://www.amazon.es/SONGMICS-Armario-Puertas-Compartimentos-Resistente/dp/B076P9N2LD/ref=sr_1_2170?dib=eyJ2IjoiMSJ9.b2UFUGk8DS2FznOAS-Lr2zldZlK-kN5s02NHf2PZB_Yf1dxLCbsYOZB5RPtdcXmz908ofdfnYjblyeIkt1YGSyh6JGuEyk-kBS4_yoGo2s2SiUSJvA7B0rdMlbQYeWRxP9ogmFjqsVf6jA7mG8EOUFV_VpBwOrAr2cPbtXtwZuI-KSZAJptuToOFzqSopxuFmJ-_IAEA9qAeESZdSj71-g3rDOWb-jB7mS1jyazTi8xt4yduStmAUJlGvu4SMqbe4Edsi-ryoxZulNEQQvJy0QLe-dCUBmjC7nEjxfuAA3A.hXK8vq5wn3W0YxqWg6sZCe_Q6E94xb6CQVgwxjAIT-w&amp;dib_tag=se&amp;qid=1792598470&amp;s=kitchen&amp;sr=1-2170&amp;srs=88626813031&amp;xpid=CeuYXw3Vdr0Bg</x:v>
      </x:c>
      <x:c r="M485" s="4" t="str">
        <x:v>B0_84bacc4c6b66_017923</x:v>
      </x:c>
      <x:c r="N485" s="4" t="str">
        <x:v>ec9fc0f2e906936b6feaf1bab0337c907ab26c6f060bb8af3ffca47a6a2112cb</x:v>
      </x:c>
      <x:c r="O485" s="8"/>
      <x:c r="P485" s="8"/>
      <x:c r="Q485" s="8"/>
      <x:c r="R485" s="8"/>
    </x:row>
    <x:row r="486" ht="90" customHeight="1">
      <x:c r="A486" s="4" t="str">
        <x:v>P482</x:v>
      </x:c>
      <x:c r="B486" s="4" t="str">
        <x:v>Hanibos Terminales de cable tubular M10 25 mm² con tubos termorretráctiles | Terminales de cobre estañado SC25-10 para batería, coche, cajas de interruptores y cableado de electrodomésticos plata</x:v>
      </x:c>
      <x:c r="C486" s="4" t="str">
        <x:v>管状电缆接线端子套装</x:v>
      </x:c>
      <x:c r="D486" s="4" t="str">
        <x:v>压接电缆实现电气连接</x:v>
      </x:c>
      <x:c r="E486" s="4" t="str">
        <x:v>观察</x:v>
      </x:c>
      <x:c r="F486" s="4" t="str">
        <x:v>专用或安装配件</x:v>
      </x:c>
      <x:c r="G486" s="4" t="str"/>
      <x:c r="H486" s="4" t="str"/>
      <x:c r="I486" s="4" t="str">
        <x:v>none</x:v>
      </x:c>
      <x:c r="J486" s="4" t="str">
        <x:v>主体是端子与热缩管，不是数据线或家电整机</x:v>
      </x:c>
      <x:c r="K486" s="4" t="str">
        <x:v>压接工具与载流条件未知</x:v>
      </x:c>
      <x:c r="L486" s="4" t="str">
        <x:v>https://www.amazon.es/Hanibos-Terminales-termorretr%C3%A1ctiles-interruptores-electrodom%C3%A9sticos/dp/B0H4172G45?psc=1</x:v>
      </x:c>
      <x:c r="M486" s="4" t="str">
        <x:v>B0_84bacc4c6b66_009468</x:v>
      </x:c>
      <x:c r="N486" s="4" t="str">
        <x:v>92c1d31890633f94f07841151a4e216ea0076fc94c0b24615d99480e2114bce6</x:v>
      </x:c>
      <x:c r="O486" s="8"/>
      <x:c r="P486" s="8"/>
      <x:c r="Q486" s="8"/>
      <x:c r="R486" s="8"/>
    </x:row>
    <x:row r="487" ht="90" customHeight="1">
      <x:c r="A487" s="4" t="str">
        <x:v>P483</x:v>
      </x:c>
      <x:c r="B487" s="4" t="str">
        <x:v>AEG Aspiradora de Trineo 750W 3,5 L AB51C1SW Blanco</x:v>
      </x:c>
      <x:c r="C487" s="4" t="str">
        <x:v>卧式吸尘器</x:v>
      </x:c>
      <x:c r="D487" s="4" t="str">
        <x:v>家庭地面吸尘</x:v>
      </x:c>
      <x:c r="E487" s="4" t="str">
        <x:v>保留</x:v>
      </x:c>
      <x:c r="F487" s="4" t="str"/>
      <x:c r="G487" s="4" t="str">
        <x:v>3223054</x:v>
      </x:c>
      <x:c r="H487" s="4" t="str">
        <x:v>Aspiradora Philips 1000 series</x:v>
      </x:c>
      <x:c r="I487" s="4" t="str">
        <x:v>related_type</x:v>
      </x:c>
      <x:c r="J487" s="4" t="str">
        <x:v>Action吸尘器提供家居清洁设备参照，Trineo指吸尘器形态不是雪橇装饰</x:v>
      </x:c>
      <x:c r="K487" s="4" t="str">
        <x:v>袋式或旋风结构未写明</x:v>
      </x:c>
      <x:c r="L487" s="4" t="str">
        <x:v>https://www.amazon.es/AEG-AB51C1SW-Aspiradora-Potencia-Capacidad/dp/B0CP46221P/ref=sr_1_2628?dib=eyJ2IjoiMSJ9.WBsgwWB8UIat1k6P5AzH0U8oACYgxznucYH0hTlzwAL-f_mY-aeb8Wo8w5s_gd5Emrkhb1BIcIViycWaYVmsm50BcXKysgu81kLRpolG3E8ZbWXRws-qK1theIwvHdA1cRpiTVqc4REgxT589QIcTxmbyIv6jaOg2tNBRXtUz83SlQGTXYGXCvI9tiVZL4VQZJea9xt_KKN8XGWeWgoy2U-dF5XHb9lKz-RcdNNt1ZwexlzY70Cfd1ZdVudK8M45pCfOzVeecjk4_YIH2DktNrRE1LPOMJn9iTjQdnXuJQs.1fBFvQE4G47_oiPjWYG2XfqH-yjuq8HPj6Mx_rXcbFc&amp;dib_tag=se&amp;qid=1792598939&amp;s=kitchen&amp;sr=1-2628&amp;srs=88626813031&amp;xpid=CeuYXw3Vdr0Bg</x:v>
      </x:c>
      <x:c r="M487" s="4" t="str">
        <x:v>B0_84bacc4c6b66_000249</x:v>
      </x:c>
      <x:c r="N487" s="4" t="str">
        <x:v>9f54c7115fa9517eecc36f26b4ac15a134b8b74213daaaf885e0f0b6de3ff993</x:v>
      </x:c>
      <x:c r="O487" s="8"/>
      <x:c r="P487" s="8"/>
      <x:c r="Q487" s="8"/>
      <x:c r="R487" s="8"/>
    </x:row>
    <x:row r="488" ht="90" customHeight="1">
      <x:c r="A488" s="4" t="str">
        <x:v>P484</x:v>
      </x:c>
      <x:c r="B488" s="4" t="str">
        <x:v>iceagle Airfryer 23L Dual Zone XXL - Freidora de aire caliente con puerta francesa y separador extraíble, 15 programas, 2200-2400 W, doble cámara, ventana, 12 accesorios, 50-200 °C</x:v>
      </x:c>
      <x:c r="C488" s="4" t="str">
        <x:v>双区空气炸锅</x:v>
      </x:c>
      <x:c r="D488" s="4" t="str">
        <x:v>热风烹调食物</x:v>
      </x:c>
      <x:c r="E488" s="4" t="str">
        <x:v>观察</x:v>
      </x:c>
      <x:c r="F488" s="4" t="str">
        <x:v>经营边界未确认</x:v>
      </x:c>
      <x:c r="G488" s="4" t="str">
        <x:v>3225024</x:v>
      </x:c>
      <x:c r="H488" s="4" t="str">
        <x:v>Freidora de aire XXL</x:v>
      </x:c>
      <x:c r="I488" s="4" t="str">
        <x:v>same_type</x:v>
      </x:c>
      <x:c r="J488" s="4" t="str">
        <x:v>Action大容量空气炸锅直接同类，容量大不等于已确认工业整机</x:v>
      </x:c>
      <x:c r="K488" s="4" t="str">
        <x:v>分区表现与配件清单未核实</x:v>
      </x:c>
      <x:c r="L488" s="4" t="str">
        <x:v>https://www.amazon.es/iceagle-Airfryer-23L-Dual-Zone/dp/B0HK8DF4P5?psc=1</x:v>
      </x:c>
      <x:c r="M488" s="4" t="str">
        <x:v>B0_84bacc4c6b66_024087</x:v>
      </x:c>
      <x:c r="N488" s="4" t="str">
        <x:v>43d6aabbc2bb11f72f7b48391b2289daea3eb93a3e6925d61e0cbf902a1a7a8b</x:v>
      </x:c>
      <x:c r="O488" s="8"/>
      <x:c r="P488" s="8"/>
      <x:c r="Q488" s="8"/>
      <x:c r="R488" s="8"/>
    </x:row>
    <x:row r="489" ht="90" customHeight="1">
      <x:c r="A489" s="4" t="str">
        <x:v>P485</x:v>
      </x:c>
      <x:c r="B489" s="4" t="str">
        <x:v>HMF Maletín Fotográfico Exterior, Estuche de Transporte con Espuma Troquelada | 57 x 41,5 x 21,5 cm</x:v>
      </x:c>
      <x:c r="C489" s="4" t="str">
        <x:v>摄影器材防护箱</x:v>
      </x:c>
      <x:c r="D489" s="4" t="str">
        <x:v>运输保护摄影器材</x:v>
      </x:c>
      <x:c r="E489" s="4" t="str">
        <x:v>观察</x:v>
      </x:c>
      <x:c r="F489" s="4" t="str">
        <x:v>缺少有效Action参照</x:v>
      </x:c>
      <x:c r="G489" s="4" t="str"/>
      <x:c r="H489" s="4" t="str"/>
      <x:c r="I489" s="4" t="str">
        <x:v>none</x:v>
      </x:c>
      <x:c r="J489" s="4" t="str">
        <x:v>标题明确有裁切泡棉的器材箱，普通文具Estuche不能证明同类防护结构</x:v>
      </x:c>
      <x:c r="K489" s="4" t="str">
        <x:v>防水防摔性能未说明</x:v>
      </x:c>
      <x:c r="L489" s="4" t="str">
        <x:v>https://www.amazon.es/HMF-ODK100-Malet%C3%ADn-fotos-exterior/dp/B08K3HWVCL?psc=1</x:v>
      </x:c>
      <x:c r="M489" s="4" t="str">
        <x:v>B0_84bacc4c6b66_009066</x:v>
      </x:c>
      <x:c r="N489" s="4" t="str">
        <x:v>3021abf8605afcc463325aef1493ca86ea82034c7620d849ced611cb410d894a</x:v>
      </x:c>
      <x:c r="O489" s="8"/>
      <x:c r="P489" s="8"/>
      <x:c r="Q489" s="8"/>
      <x:c r="R489" s="8"/>
    </x:row>
    <x:row r="490" ht="90" customHeight="1">
      <x:c r="A490" s="4" t="str">
        <x:v>P486</x:v>
      </x:c>
      <x:c r="B490" s="4" t="str">
        <x:v>Ninja Luxe Café Mini Cafetera 2 en 1 para café de filtro y espresso y molinillo integrado, espumador manual de leche ES301EU</x:v>
      </x:c>
      <x:c r="C490" s="4" t="str">
        <x:v>滴滤与浓缩咖啡机</x:v>
      </x:c>
      <x:c r="D490" s="4" t="str">
        <x:v>制作咖啡并研磨或打奶泡</x:v>
      </x:c>
      <x:c r="E490" s="4" t="str">
        <x:v>观察</x:v>
      </x:c>
      <x:c r="F490" s="4" t="str">
        <x:v>经营边界未确认</x:v>
      </x:c>
      <x:c r="G490" s="4" t="str">
        <x:v>3214353</x:v>
      </x:c>
      <x:c r="H490" s="4" t="str">
        <x:v>Cafetera espresso</x:v>
      </x:c>
      <x:c r="I490" s="4" t="str">
        <x:v>related_type</x:v>
      </x:c>
      <x:c r="J490" s="4" t="str">
        <x:v>Action浓缩咖啡机提供相关主体参照，集成功能不自动形成排除边界</x:v>
      </x:c>
      <x:c r="K490" s="4" t="str">
        <x:v>不同功能的工作性能未知</x:v>
      </x:c>
      <x:c r="L490" s="4" t="str">
        <x:v>https://www.amazon.es/Ninja-molinillo-integrado-espumador-ES301EU/dp/B0H5D9CVS9?psc=1</x:v>
      </x:c>
      <x:c r="M490" s="4" t="str">
        <x:v>B0_84bacc4c6b66_014299</x:v>
      </x:c>
      <x:c r="N490" s="4" t="str">
        <x:v>603dd7851f7ca9bf61d5c29d112b4651eb18cbf059191796d9bcf4e4007933a3</x:v>
      </x:c>
      <x:c r="O490" s="8"/>
      <x:c r="P490" s="8"/>
      <x:c r="Q490" s="8"/>
      <x:c r="R490" s="8"/>
    </x:row>
    <x:row r="491" ht="90" customHeight="1">
      <x:c r="A491" s="4" t="str">
        <x:v>P487</x:v>
      </x:c>
      <x:c r="B491" s="4" t="str">
        <x:v>PULCINELLI 6 Uds Bases Ovaladas para Bolsos Crochet de PU - 22x10 cm | Base de PU Piel para Bolsos, 52 Agujeros Preperforados. Para Bolsos de Mano, Hombro y Mochilas- 6 Colores</x:v>
      </x:c>
      <x:c r="C491" s="4" t="str">
        <x:v>钩织包用椭圆底片</x:v>
      </x:c>
      <x:c r="D491" s="4" t="str">
        <x:v>作为手工包袋底部</x:v>
      </x:c>
      <x:c r="E491" s="4" t="str">
        <x:v>观察</x:v>
      </x:c>
      <x:c r="F491" s="4" t="str">
        <x:v>缺少有效Action参照</x:v>
      </x:c>
      <x:c r="G491" s="4" t="str"/>
      <x:c r="H491" s="4" t="str"/>
      <x:c r="I491" s="4" t="str">
        <x:v>none</x:v>
      </x:c>
      <x:c r="J491" s="4" t="str">
        <x:v>主体为预打孔包底而非成品包；PU不当作真皮</x:v>
      </x:c>
      <x:c r="K491" s="4" t="str">
        <x:v>孔距和与手工方案适配待核对</x:v>
      </x:c>
      <x:c r="L491" s="4" t="str">
        <x:v>https://www.amazon.es/PULCINELLI-Bases-Ovaladas-Bolsos-Crochet/dp/B0HBC8QX99?psc=1</x:v>
      </x:c>
      <x:c r="M491" s="4" t="str">
        <x:v>B0_84bacc4c6b66_015207</x:v>
      </x:c>
      <x:c r="N491" s="4" t="str">
        <x:v>af06c813e7f405651c9b0b70a0cd3123013e530288eb6b538794eb7ccfcaeae9</x:v>
      </x:c>
      <x:c r="O491" s="8"/>
      <x:c r="P491" s="8"/>
      <x:c r="Q491" s="8"/>
      <x:c r="R491" s="8"/>
    </x:row>
    <x:row r="492" ht="90" customHeight="1">
      <x:c r="A492" s="4" t="str">
        <x:v>P488</x:v>
      </x:c>
      <x:c r="B492" s="4" t="str">
        <x:v>BEPER P102SBA007 Batidora recargable sin hilo,20W,2 Látigo de Acero Inoxidable, 5 Velocidad, Solo tecla Operación, Cable USB incluido, Rojo/Blanco</x:v>
      </x:c>
      <x:c r="C492" s="4" t="str">
        <x:v>无线充电搅拌器</x:v>
      </x:c>
      <x:c r="D492" s="4" t="str">
        <x:v>搅打食材</x:v>
      </x:c>
      <x:c r="E492" s="4" t="str">
        <x:v>观察</x:v>
      </x:c>
      <x:c r="F492" s="4" t="str">
        <x:v>经营边界未确认</x:v>
      </x:c>
      <x:c r="G492" s="4" t="str">
        <x:v>3225912</x:v>
      </x:c>
      <x:c r="H492" s="4" t="str">
        <x:v>Batidora eléctrica MasterChef</x:v>
      </x:c>
      <x:c r="I492" s="4" t="str">
        <x:v>related_type</x:v>
      </x:c>
      <x:c r="J492" s="4" t="str">
        <x:v>Action电动搅拌器为相关完整设备，不使用不锈钢饰品作参照</x:v>
      </x:c>
      <x:c r="K492" s="4" t="str">
        <x:v>双搅拌头具体形状及容量未知</x:v>
      </x:c>
      <x:c r="L492" s="4" t="str">
        <x:v>https://www.amazon.es/BEPER-P102SBA007-recargable-Inoxidable-Velocidad/dp/B09LHXJXQL/ref=sr_1_2526?dib=eyJ2IjoiMSJ9.iGvx46IJfh7zjHtIczmCYvzsy2pn29K-87usAEDrsOpUA6MsnqNYr5Wjg4aVBCW8Hnjc-65O49NrCsnc54tcEATF42q2hZgl5mi-N_TE8ADCVYTUQuspAe7Cb7ZgAJOQMPIAj0Z0pLoaEr95K0pA5s0n5E49YHG9O1VrcMSdDIk61E8PlFV_4RmbBhbx3TBMyJfcMp7c64VuI5ZGm3IYnxm5yK6reWqXROcEi4EKK1uyuzd8vMuxWF63cAXe_tw0UZfcNB5D4UGr2725FwxqXUNfKoVrQGwVpBBCi09T3dE.lpT5XS6_rzW_IviGPmGok2wxzkY-6ZdmLuQkwPs0-3o&amp;dib_tag=se&amp;qid=1792598840&amp;s=kitchen&amp;sr=1-2526&amp;srs=88626813031&amp;xpid=CeuYXw3Vdr0Bg</x:v>
      </x:c>
      <x:c r="M492" s="4" t="str">
        <x:v>B0_84bacc4c6b66_002174</x:v>
      </x:c>
      <x:c r="N492" s="4" t="str">
        <x:v>c17845212a02104f68f327bcc138f6e5ae38244cf697cac01c5e1bf8602130bd</x:v>
      </x:c>
      <x:c r="O492" s="8"/>
      <x:c r="P492" s="8"/>
      <x:c r="Q492" s="8"/>
      <x:c r="R492" s="8"/>
    </x:row>
    <x:row r="493" ht="90" customHeight="1">
      <x:c r="A493" s="4" t="str">
        <x:v>P489</x:v>
      </x:c>
      <x:c r="B493" s="4" t="str">
        <x:v>Ocnvlia de 240 Piezas de sublimación de SelanhäNger, Redondo, sublimación, Adornos de selan, en</x:v>
      </x:c>
      <x:c r="C493" s="4" t="str">
        <x:v>热转印材料（具体主体未明）</x:v>
      </x:c>
      <x:c r="D493" s="4" t="str">
        <x:v>用于热转印装饰的可能材料</x:v>
      </x:c>
      <x:c r="E493" s="4" t="str">
        <x:v>观察</x:v>
      </x:c>
      <x:c r="F493" s="4" t="str">
        <x:v>供货或形态信息不足</x:v>
      </x:c>
      <x:c r="G493" s="4" t="str"/>
      <x:c r="H493" s="4" t="str"/>
      <x:c r="I493" s="4" t="str">
        <x:v>none</x:v>
      </x:c>
      <x:c r="J493" s="4" t="str">
        <x:v>SelanhäNger等文本损坏且结尾残缺，不能自行补成钥匙扣或陶瓷挂件</x:v>
      </x:c>
      <x:c r="K493" s="4" t="str">
        <x:v>具体材料、成品形态及用途不明</x:v>
      </x:c>
      <x:c r="L493" s="4" t="str">
        <x:v>https://www.amazon.es/Ocnvlia-sublimaci%C3%B3n-Selanh%C3%A4Nger-redondo-adornos/dp/B0B9MY5239?psc=1</x:v>
      </x:c>
      <x:c r="M493" s="4" t="str">
        <x:v>B0_84bacc4c6b66_014648</x:v>
      </x:c>
      <x:c r="N493" s="4" t="str">
        <x:v>f3862507d51851fe6af63f91f28552b74cf9b4ddf411b866bc544ddbf02e189d</x:v>
      </x:c>
      <x:c r="O493" s="8"/>
      <x:c r="P493" s="8"/>
      <x:c r="Q493" s="8"/>
      <x:c r="R493" s="8"/>
    </x:row>
    <x:row r="494" ht="90" customHeight="1">
      <x:c r="A494" s="4" t="str">
        <x:v>P490</x:v>
      </x:c>
      <x:c r="B494" s="4" t="str">
        <x:v>Sukizifa Flores de Vidrio, nomeolvides Azul con jarrón facetado. | Figura floral cristalina aprox. 12×5 cm en azul, amarillo y transparente, para escritorio, estante, sala de estar, 1 ud.</x:v>
      </x:c>
      <x:c r="C494" s="4" t="str">
        <x:v>玻璃花摆件</x:v>
      </x:c>
      <x:c r="D494" s="4" t="str">
        <x:v>桌面花艺装饰</x:v>
      </x:c>
      <x:c r="E494" s="4" t="str">
        <x:v>保留</x:v>
      </x:c>
      <x:c r="F494" s="4" t="str"/>
      <x:c r="G494" s="4" t="str">
        <x:v>3013856</x:v>
      </x:c>
      <x:c r="H494" s="4" t="str">
        <x:v>Flores artificiales con jarrón</x:v>
      </x:c>
      <x:c r="I494" s="4" t="str">
        <x:v>related_type</x:v>
      </x:c>
      <x:c r="J494" s="4" t="str">
        <x:v>Action带瓶仿真花提供完整花形摆件参照，不推断材质相同</x:v>
      </x:c>
      <x:c r="K494" s="4" t="str">
        <x:v>玻璃及晶体描述不代表水晶材质认证</x:v>
      </x:c>
      <x:c r="L494" s="4" t="str">
        <x:v>https://www.amazon.es/Sukizifa-Flores-Vidrio-nomeolvides-facetado/dp/B0HC3BFG2T?psc=1</x:v>
      </x:c>
      <x:c r="M494" s="4" t="str">
        <x:v>B0_84bacc4c6b66_019122</x:v>
      </x:c>
      <x:c r="N494" s="4" t="str">
        <x:v>7a306f74c3d63f61a6dddfed29c04493bcb33de6a5f6d05b32f1f38ed3c0ca72</x:v>
      </x:c>
      <x:c r="O494" s="8"/>
      <x:c r="P494" s="8"/>
      <x:c r="Q494" s="8"/>
      <x:c r="R494" s="8"/>
    </x:row>
    <x:row r="495" ht="90" customHeight="1">
      <x:c r="A495" s="4" t="str">
        <x:v>P491</x:v>
      </x:c>
      <x:c r="B495" s="4" t="str">
        <x:v>SONGMICS Cesto de la Ropa Sucia con Tapa, 72 L, Cesta de Lavandería de Bambú, Plegable, con Bolsa Lavable Extraíble, Asas, para Lavandería, Dormitorio, Natural LCB10Y</x:v>
      </x:c>
      <x:c r="C495" s="4" t="str">
        <x:v>带盖脏衣篮</x:v>
      </x:c>
      <x:c r="D495" s="4" t="str">
        <x:v>收集待洗衣物</x:v>
      </x:c>
      <x:c r="E495" s="4" t="str">
        <x:v>保留</x:v>
      </x:c>
      <x:c r="F495" s="4" t="str"/>
      <x:c r="G495" s="4" t="str">
        <x:v>2522783</x:v>
      </x:c>
      <x:c r="H495" s="4" t="str">
        <x:v>Cesto para ropa sucia</x:v>
      </x:c>
      <x:c r="I495" s="4" t="str">
        <x:v>same_type</x:v>
      </x:c>
      <x:c r="J495" s="4" t="str">
        <x:v>Action脏衣篮直接对应，袋和把手是附随结构</x:v>
      </x:c>
      <x:c r="K495" s="4" t="str">
        <x:v>承载和洗袋适用性未验证</x:v>
      </x:c>
      <x:c r="L495" s="4" t="str">
        <x:v>https://www.amazon.es/SONGMICS-colada-rectangular-Capacidad-LCB10Y/dp/B074GTL2QJ?psc=1</x:v>
      </x:c>
      <x:c r="M495" s="4" t="str">
        <x:v>B0_84bacc4c6b66_018065</x:v>
      </x:c>
      <x:c r="N495" s="4" t="str">
        <x:v>bee3b8a7718a539c39935adabc48fcec1d59b8cc64d408e29b4d0d30412f9c8e</x:v>
      </x:c>
      <x:c r="O495" s="8"/>
      <x:c r="P495" s="8"/>
      <x:c r="Q495" s="8"/>
      <x:c r="R495" s="8"/>
    </x:row>
    <x:row r="496" ht="90" customHeight="1">
      <x:c r="A496" s="4" t="str">
        <x:v>P492</x:v>
      </x:c>
      <x:c r="B496" s="4" t="str">
        <x:v>HexClad Sartén Profunda para Saltear y Freír Hybrid Antiadherente con Tapa de Vidrio Templado de 7 Litros, Apta para Lavavajillas, Horno hasta 480°C e Inducción, Compatible con todas las Estufas</x:v>
      </x:c>
      <x:c r="C496" s="4" t="str">
        <x:v>带玻璃盖深煎锅</x:v>
      </x:c>
      <x:c r="D496" s="4" t="str">
        <x:v>煎炒或炸制食物</x:v>
      </x:c>
      <x:c r="E496" s="4" t="str">
        <x:v>保留</x:v>
      </x:c>
      <x:c r="F496" s="4" t="str"/>
      <x:c r="G496" s="4" t="str">
        <x:v>3015985</x:v>
      </x:c>
      <x:c r="H496" s="4" t="str">
        <x:v>Sartén con tapa de vidrio</x:v>
      </x:c>
      <x:c r="I496" s="4" t="str">
        <x:v>same_type</x:v>
      </x:c>
      <x:c r="J496" s="4" t="str">
        <x:v>Action带玻璃盖煎锅与主体同类，洗碗机和烤箱为适用场景</x:v>
      </x:c>
      <x:c r="K496" s="4" t="str">
        <x:v>480度和耐洗声称未核实</x:v>
      </x:c>
      <x:c r="L496" s="4" t="str">
        <x:v>https://www.amazon.es/HexClad-Freidora-h%C3%ADbrida-profunda-saltear/dp/B09DP7JLC9/ref=sr_1_4213?dib=eyJ2IjoiMSJ9.WEetlGJBKOHJw0IKWxVNRbiBwKbptst5eDmUzBrAB1ubd--JFcfvGmq5B01bbc9CQ_kfEgSmt_jgCY10vD97HexNXik3Fji9T062kmw6YZhIVOswlL5wOqz-rN0QMzavs_7UUMV4HyYWT2LXWdermtYrJQxQFTJobBpYELtbtJ9orgLILdHELcma6abu-0L11o7Vg5W4vkvi0Q73Qtpf_OS229Cz4khldRsDYuzviP90jeLCoQw7N3fqLCcmMfEisZirdQwk4LiPMZFvgzY4hZ4mmsNLETShBxgIMQqzPBg.XFnU2TrEE9uG3KEQkYFPt8SiUKxtDaVYGbL-Tj3d924&amp;dib_tag=se&amp;qid=1792653257&amp;s=kitchen&amp;sr=1-4213&amp;srs=88626813031&amp;xpid=qpnO31ULD-dQ4</x:v>
      </x:c>
      <x:c r="M496" s="4" t="str">
        <x:v>B0_84bacc4c6b66_009684</x:v>
      </x:c>
      <x:c r="N496" s="4" t="str">
        <x:v>727fc4952261ec63ba09a6644eb1181aea4f1593add0d3e089ff6458cf4b317c</x:v>
      </x:c>
      <x:c r="O496" s="8"/>
      <x:c r="P496" s="8"/>
      <x:c r="Q496" s="8"/>
      <x:c r="R496" s="8"/>
    </x:row>
    <x:row r="497" ht="90" customHeight="1">
      <x:c r="A497" s="4" t="str">
        <x:v>P493</x:v>
      </x:c>
      <x:c r="B497" s="4" t="str">
        <x:v>Vigar Taburete Plegable Portatil Compacto para Adultos, 40 cm Antideslizante de Dos Peldaños, Silla Banco Banqueta Asiento para Casa, Cocina, Baño, Oficina, Camping, Salón, Armario, hasta 150 kg, Gris</x:v>
      </x:c>
      <x:c r="C497" s="4" t="str">
        <x:v>双阶折叠踏凳</x:v>
      </x:c>
      <x:c r="D497" s="4" t="str">
        <x:v>辅助登高或临时坐靠</x:v>
      </x:c>
      <x:c r="E497" s="4" t="str">
        <x:v>观察</x:v>
      </x:c>
      <x:c r="F497" s="4" t="str">
        <x:v>经营边界未确认</x:v>
      </x:c>
      <x:c r="G497" s="4" t="str">
        <x:v>2565211</x:v>
      </x:c>
      <x:c r="H497" s="4" t="str">
        <x:v>Taburete plegable</x:v>
      </x:c>
      <x:c r="I497" s="4" t="str">
        <x:v>same_type</x:v>
      </x:c>
      <x:c r="J497" s="4" t="str">
        <x:v>Action折叠凳为实际同类，小型踏凳与完整家具的经营边界仍待校准</x:v>
      </x:c>
      <x:c r="K497" s="4" t="str">
        <x:v>登高承载和稳定性未验证</x:v>
      </x:c>
      <x:c r="L497" s="4" t="str">
        <x:v>https://www.amazon.es/VIGAR-10568-Taburete-Plegable/dp/B07YVJTWSL/ref=sr_1_2633?dib=eyJ2IjoiMSJ9.zCRzZd3cwG4N_r4icaqmIU0-XpL3UAlMrqybd1m3imHPzhzaiSo2LbBujtIl6iduJE8nIXCoQAK9_zmsvxsAAu9ZX_A04pm9cxrHy1KK4yKrOpqz2pHhHO8E3h2jjitOIP3G47AKCGR3UxAuCqmmnLLKcRz6Gtmd-b4KlsXvu-Mi2zZ4UpYM_DfDf_piH7ayCV7niKZyJjwRgvieIHVxFPB9ek4x3uDhHN_8rT-qkClfUMtHal0mEf5dzfEeK-yo7S1GvB58u1lccx_FVQwjH6Wz8_k8uvRMfWgrmbqPIVw.ukXBmcir-sn_bzO7WSegNkZgSBD2_cK4oOflpZ7q78s&amp;dib_tag=se&amp;qid=1792651072&amp;s=kitchen&amp;sr=1-2633&amp;srs=88626813031&amp;xpid=qpnO31ULD-dQ4</x:v>
      </x:c>
      <x:c r="M497" s="4" t="str">
        <x:v>B0_84bacc4c6b66_021086</x:v>
      </x:c>
      <x:c r="N497" s="4" t="str">
        <x:v>f333db5e52a062a8df75239d13a6ce3e0145ef0bd597041ce9f452fb461005c7</x:v>
      </x:c>
      <x:c r="O497" s="8"/>
      <x:c r="P497" s="8"/>
      <x:c r="Q497" s="8"/>
      <x:c r="R497" s="8"/>
    </x:row>
    <x:row r="498" ht="90" customHeight="1">
      <x:c r="A498" s="4" t="str">
        <x:v>P494</x:v>
      </x:c>
      <x:c r="B498" s="4" t="str">
        <x:v>KAOLALI Caja de Fusibles 6 Vías Portafusibles 12v con Cuchilla Negativa | Porta Fusibles para 12V Coche Barco Camper Marino Autocaravana, Lámpara de Alerta LED, Cubierta a Prueba de Humedad</x:v>
      </x:c>
      <x:c r="C498" s="4" t="str">
        <x:v>六路保险丝座</x:v>
      </x:c>
      <x:c r="D498" s="4" t="str">
        <x:v>组织车辆或船用电路保险丝</x:v>
      </x:c>
      <x:c r="E498" s="4" t="str">
        <x:v>观察</x:v>
      </x:c>
      <x:c r="F498" s="4" t="str">
        <x:v>专用或安装配件</x:v>
      </x:c>
      <x:c r="G498" s="4" t="str"/>
      <x:c r="H498" s="4" t="str"/>
      <x:c r="I498" s="4" t="str">
        <x:v>none</x:v>
      </x:c>
      <x:c r="J498" s="4" t="str">
        <x:v>销售电路保险丝座而非LED灯或收纳箱</x:v>
      </x:c>
      <x:c r="K498" s="4" t="str">
        <x:v>接线和保险丝配套未知</x:v>
      </x:c>
      <x:c r="L498" s="4" t="str">
        <x:v>https://www.amazon.es/KAOLALI-Portafusibles-Fusibles-Cuchilla-Negativa/dp/B08HYD3JL7?psc=1</x:v>
      </x:c>
      <x:c r="M498" s="4" t="str">
        <x:v>B0_84bacc4c6b66_011056</x:v>
      </x:c>
      <x:c r="N498" s="4" t="str">
        <x:v>d4628341ac57482f4ee58efbf53aaf9b45b9c00382086de63c35f384fd52453c</x:v>
      </x:c>
      <x:c r="O498" s="8"/>
      <x:c r="P498" s="8"/>
      <x:c r="Q498" s="8"/>
      <x:c r="R498" s="8"/>
    </x:row>
    <x:row r="499" ht="90" customHeight="1">
      <x:c r="A499" s="4" t="str">
        <x:v>P495</x:v>
      </x:c>
      <x:c r="B499" s="4" t="str">
        <x:v>Swpeet 152 piezas M5x5 mm, 6 mm, 8 mm, 10 mm, 12 mm de remaches de cuero de tornillo plateado, con punzón y destornillador, perno de doble cabeza redonda y plana para proceso de cuero DIY</x:v>
      </x:c>
      <x:c r="C499" s="4" t="str">
        <x:v>皮革螺钉铆钉工具套装</x:v>
      </x:c>
      <x:c r="D499" s="4" t="str">
        <x:v>固定皮革手工作品</x:v>
      </x:c>
      <x:c r="E499" s="4" t="str">
        <x:v>观察</x:v>
      </x:c>
      <x:c r="F499" s="4" t="str">
        <x:v>缺少有效Action参照</x:v>
      </x:c>
      <x:c r="G499" s="4" t="str"/>
      <x:c r="H499" s="4" t="str"/>
      <x:c r="I499" s="4" t="str">
        <x:v>none</x:v>
      </x:c>
      <x:c r="J499" s="4" t="str">
        <x:v>主体为铆钉及冲孔工具，螺丝刀只是附属，单个工具参照不能覆盖整套</x:v>
      </x:c>
      <x:c r="K499" s="4" t="str">
        <x:v>不同长度选件与皮革厚度适配待确认</x:v>
      </x:c>
      <x:c r="L499" s="4" t="str">
        <x:v>https://www.amazon.es/Swpeet-remaches-tornillo-plateado-destornillador/dp/B0CPL16N22?psc=1</x:v>
      </x:c>
      <x:c r="M499" s="4" t="str">
        <x:v>B0_84bacc4c6b66_019192</x:v>
      </x:c>
      <x:c r="N499" s="4" t="str">
        <x:v>b4dae3b7579ac103e18ee1e15d22a64f014ce9fb836a1baf15bcf54e83e96fb2</x:v>
      </x:c>
      <x:c r="O499" s="8"/>
      <x:c r="P499" s="8"/>
      <x:c r="Q499" s="8"/>
      <x:c r="R499" s="8"/>
    </x:row>
    <x:row r="500" ht="90" customHeight="1">
      <x:c r="A500" s="4" t="str">
        <x:v>P496</x:v>
      </x:c>
      <x:c r="B500" s="4" t="str">
        <x:v>Diferencial Magnetotérmico Rearmable WiFi 40A 30mA Tipo A 2P - RCBO | Incluye cables, Inmunizado, Control remoto por WiFi, rearme automático, protección diferencial y magnetotérmica</x:v>
      </x:c>
      <x:c r="C500" s="4" t="str">
        <x:v>可重合闸漏电过流保护器</x:v>
      </x:c>
      <x:c r="D500" s="4" t="str">
        <x:v>保护并控制供电电路</x:v>
      </x:c>
      <x:c r="E500" s="4" t="str">
        <x:v>观察</x:v>
      </x:c>
      <x:c r="F500" s="4" t="str">
        <x:v>专用或安装配件</x:v>
      </x:c>
      <x:c r="G500" s="4" t="str"/>
      <x:c r="H500" s="4" t="str"/>
      <x:c r="I500" s="4" t="str">
        <x:v>none</x:v>
      </x:c>
      <x:c r="J500" s="4" t="str">
        <x:v>RCBO是配电保护构件，联网和自动重合功能不使其变为完整工业系统</x:v>
      </x:c>
      <x:c r="K500" s="4" t="str">
        <x:v>安装、安全及重合闸条件需确认</x:v>
      </x:c>
      <x:c r="L500" s="4" t="str">
        <x:v>https://www.amazon.es/Diferencial-Rearmable-WIFI-Sobrecorriente-Superinmunizado/dp/B0F544RW3S?psc=1</x:v>
      </x:c>
      <x:c r="M500" s="4" t="str">
        <x:v>B0_84bacc4c6b66_006202</x:v>
      </x:c>
      <x:c r="N500" s="4" t="str">
        <x:v>4c6a528a7f0af5a6879984a759d5f72711a1a1e56cf37398dd3451728a6fc8a1</x:v>
      </x:c>
      <x:c r="O500" s="8"/>
      <x:c r="P500" s="8"/>
      <x:c r="Q500" s="8"/>
      <x:c r="R500" s="8"/>
    </x:row>
    <x:row r="501" ht="90" customHeight="1">
      <x:c r="A501" s="4" t="str">
        <x:v>P497</x:v>
      </x:c>
      <x:c r="B501" s="4" t="str">
        <x:v>Oscarre K. gobelins 4 kits de medio punto de cruz completos 30 x 22 cm (bordado terminado 23 x 16 cm) 4 estaciones ver.1</x:v>
      </x:c>
      <x:c r="C501" s="4" t="str">
        <x:v>半十字绣套装</x:v>
      </x:c>
      <x:c r="D501" s="4" t="str">
        <x:v>刺绣四季主题图案</x:v>
      </x:c>
      <x:c r="E501" s="4" t="str">
        <x:v>保留</x:v>
      </x:c>
      <x:c r="F501" s="4" t="str"/>
      <x:c r="G501" s="4" t="str">
        <x:v>3209490</x:v>
      </x:c>
      <x:c r="H501" s="4" t="str">
        <x:v>Juego de bordado</x:v>
      </x:c>
      <x:c r="I501" s="4" t="str">
        <x:v>related_type</x:v>
      </x:c>
      <x:c r="J501" s="4" t="str">
        <x:v>Action刺绣套装对应手工活动，四季被子与针织床品不是相关主体</x:v>
      </x:c>
      <x:c r="K501" s="4" t="str">
        <x:v>绣线和底布配套未具体写明</x:v>
      </x:c>
      <x:c r="L501" s="4" t="str">
        <x:v>https://www.amazon.es/Oscarre-K-gobelins-completos-estaciones/dp/B0HB5WHLCZ?psc=1</x:v>
      </x:c>
      <x:c r="M501" s="4" t="str">
        <x:v>B0_84bacc4c6b66_014906</x:v>
      </x:c>
      <x:c r="N501" s="4" t="str">
        <x:v>a525011e835c52b6840879d5e3f5ba925c4cebe32f9ee025e1f52957d33982ff</x:v>
      </x:c>
      <x:c r="O501" s="8"/>
      <x:c r="P501" s="8"/>
      <x:c r="Q501" s="8"/>
      <x:c r="R501" s="8"/>
    </x:row>
    <x:row r="502" ht="90" customHeight="1">
      <x:c r="A502" s="4" t="str">
        <x:v>P498</x:v>
      </x:c>
      <x:c r="B502" s="4" t="str">
        <x:v>CABLEPELADO Cubo basura plástico, Cubo basura apertura pedal, Papelera de pedal, Cubo de pedal, Libre de BPA, 63.5 cm alto x 41 cm ancho x 36 cm fondo, Capacidad 50 Litros, Blanco</x:v>
      </x:c>
      <x:c r="C502" s="4" t="str">
        <x:v>脚踏垃圾桶</x:v>
      </x:c>
      <x:c r="D502" s="4" t="str">
        <x:v>收集生活垃圾</x:v>
      </x:c>
      <x:c r="E502" s="4" t="str">
        <x:v>保留</x:v>
      </x:c>
      <x:c r="F502" s="4" t="str"/>
      <x:c r="G502" s="4" t="str">
        <x:v>2531440</x:v>
      </x:c>
      <x:c r="H502" s="4" t="str">
        <x:v>Cubo de basura con pedal</x:v>
      </x:c>
      <x:c r="I502" s="4" t="str">
        <x:v>same_type</x:v>
      </x:c>
      <x:c r="J502" s="4" t="str">
        <x:v>Action脚踏垃圾桶直接对应</x:v>
      </x:c>
      <x:c r="K502" s="4" t="str">
        <x:v>食品接触类BPA声称未验证</x:v>
      </x:c>
      <x:c r="L502" s="4" t="str">
        <x:v>https://www.amazon.es/CABLEPELADO-Basura-plastico-Apertura-litros/dp/B09D1Y5WSP?psc=1</x:v>
      </x:c>
      <x:c r="M502" s="4" t="str">
        <x:v>B0_84bacc4c6b66_003567</x:v>
      </x:c>
      <x:c r="N502" s="4" t="str">
        <x:v>33295aec8b7d4d25087303ad1cc6f5dea5d04a70bd18011c96b81c28e82eb9e2</x:v>
      </x:c>
      <x:c r="O502" s="8"/>
      <x:c r="P502" s="8"/>
      <x:c r="Q502" s="8"/>
      <x:c r="R502" s="8"/>
    </x:row>
    <x:row r="503" ht="90" customHeight="1">
      <x:c r="A503" s="4" t="str">
        <x:v>P499</x:v>
      </x:c>
      <x:c r="B503" s="4" t="str">
        <x:v>Alluflon Tradizione Italia Cueceleches 12 cm - Cazo Pequeño de Aluminio con Revestimiento Antiadherente Efecto Piedra Artech, Cazo Leche con Mango de Baquelita, Apto Lavavajillas</x:v>
      </x:c>
      <x:c r="C503" s="4" t="str">
        <x:v>小奶锅</x:v>
      </x:c>
      <x:c r="D503" s="4" t="str">
        <x:v>加热奶或少量食物</x:v>
      </x:c>
      <x:c r="E503" s="4" t="str">
        <x:v>保留</x:v>
      </x:c>
      <x:c r="F503" s="4" t="str"/>
      <x:c r="G503" s="4" t="str">
        <x:v>3015949</x:v>
      </x:c>
      <x:c r="H503" s="4" t="str">
        <x:v>Cazo</x:v>
      </x:c>
      <x:c r="I503" s="4" t="str">
        <x:v>same_type</x:v>
      </x:c>
      <x:c r="J503" s="4" t="str">
        <x:v>Action小锅对应主体，石纹涂层不当作石头材质</x:v>
      </x:c>
      <x:c r="K503" s="4" t="str">
        <x:v>炉具兼容和涂层耐用性未知</x:v>
      </x:c>
      <x:c r="L503" s="4" t="str">
        <x:v>https://www.amazon.es/Cueceleches-Revestimiento-Antiadherente-Antirayaduras-Lavavajillas/dp/B01NBR01M2/ref=sr_1_2055?dib=eyJ2IjoiMSJ9.eOw2Fl0TI3_8abSIV4Icc5Jlla-g0R8rHy_SFhsh_gVHSv-V9RgdjSxtauucGsopRXMtpy84HY3rhPl5KOFl5PPUqoVt7ey6qTCO63d4FuRjEu_uWjU0kC06Z15GhcfKzS8xRzpvQNha4DSDvLkXJAY4_61jUXbAiJvRENZipUkRR72egT0AD5rBBPxgRH_q7yWYOMKpO6yRfZ3E3zp7U1rSsH5b5N2ET0-AsPZqaoDM5C4HOzzzX3hg8wtGpYb4Nx_4XCHlUOB3XUv4B-V_URsA0ukXbqB-bQjMkwGyloc.OLxZAnOkMEbJAwN9LWaFT62W29CXfNo8123D_wisB3s&amp;dib_tag=se&amp;qid=1792650542&amp;s=kitchen&amp;sr=1-2055&amp;srs=88626813031&amp;xpid=qpnO31ULD-dQ4</x:v>
      </x:c>
      <x:c r="M503" s="4" t="str">
        <x:v>B0_84bacc4c6b66_005389</x:v>
      </x:c>
      <x:c r="N503" s="4" t="str">
        <x:v>5d06b3b7b731db53e625be00afbdeac0676d1b051eb9939898f7699a605d1f42</x:v>
      </x:c>
      <x:c r="O503" s="8"/>
      <x:c r="P503" s="8"/>
      <x:c r="Q503" s="8"/>
      <x:c r="R503" s="8"/>
    </x:row>
    <x:row r="504" ht="90" customHeight="1">
      <x:c r="A504" s="4" t="str">
        <x:v>P500</x:v>
      </x:c>
      <x:c r="B504" s="4" t="str">
        <x:v>FANSEZQ Taza de Cerámica de Fantasma para Halloween, Taza de Café con Forma de Fantasma, Tazas de Halloween 600ml, para Café, Té, Chocolate Caliente, latte de Calabaza y Decoración Otoñal</x:v>
      </x:c>
      <x:c r="C504" s="4" t="str">
        <x:v>幽灵造型陶瓷杯</x:v>
      </x:c>
      <x:c r="D504" s="4" t="str">
        <x:v>饮用热饮及节庆装饰</x:v>
      </x:c>
      <x:c r="E504" s="4" t="str">
        <x:v>保留</x:v>
      </x:c>
      <x:c r="F504" s="4" t="str"/>
      <x:c r="G504" s="4" t="str">
        <x:v>3225163</x:v>
      </x:c>
      <x:c r="H504" s="4" t="str">
        <x:v>Taza de Halloween</x:v>
      </x:c>
      <x:c r="I504" s="4" t="str">
        <x:v>same_type</x:v>
      </x:c>
      <x:c r="J504" s="4" t="str">
        <x:v>Action万圣节杯与主体直接对应，南瓜拿铁是饮品场景</x:v>
      </x:c>
      <x:c r="K504" s="4" t="str">
        <x:v>耐温及容量未实测</x:v>
      </x:c>
      <x:c r="L504" s="4" t="str">
        <x:v>https://www.amazon.es/FANSEZQ-Cer%C3%A1mica-Halloween-Chocolate-Decoraci%C3%B3n/dp/B0HCBTD1N5?psc=1</x:v>
      </x:c>
      <x:c r="M504" s="4" t="str">
        <x:v>B0_84bacc4c6b66_007434</x:v>
      </x:c>
      <x:c r="N504" s="4" t="str">
        <x:v>2833055d64b8e67ac2536b438f43ddec337d633815f16381ac50a00d8b11abae</x:v>
      </x:c>
      <x:c r="O504" s="8"/>
      <x:c r="P504" s="8"/>
      <x:c r="Q504" s="8"/>
      <x:c r="R504" s="8"/>
    </x:row>
  </x:sheetData>
  <x:dataValidations count="1">
    <x:dataValidation type="list" sqref="O5:O504">
      <x:formula1>"保留,观察,用不到"</x:formula1>
    </x:dataValidation>
  </x:dataValidations>
  <x:pageMargins left="0.7" right="0.7" top="0.75" bottom="0.75" header="0.3" footer="0.3"/>
  <x:tableParts count="1">
    <x:tablePart xmlns:r="http://schemas.openxmlformats.org/officeDocument/2006/relationships" r:id="Rd3c0a4ac627e468b"/>
  </x:tableParts>
</x:worksheet>
</file>