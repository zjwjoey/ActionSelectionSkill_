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56d5d60086643de" /></Relationships>
</file>

<file path=xl/workbook.xml><?xml version="1.0" encoding="utf-8"?>
<x:workbook xmlns:x="http://schemas.openxmlformats.org/spreadsheetml/2006/main">
  <x:sheets>
    <x:sheet xmlns:r="http://schemas.openxmlformats.org/officeDocument/2006/relationships" name="复核结论" sheetId="1" r:id="Ra1adff1f76cf49c8"/>
    <x:sheet xmlns:r="http://schemas.openxmlformats.org/officeDocument/2006/relationships" name="60条逐条复核" sheetId="2" r:id="R1b8eb11f554d493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243746"/>
      <x:name val="Arial"/>
    </x:font>
    <x:font>
      <x:b/>
      <x:sz val="14"/>
      <x:color rgb="FF304B63"/>
      <x:name val="Arial"/>
    </x:font>
    <x:font>
      <x:b/>
      <x:sz val="10"/>
      <x:color rgb="FFFFFFFF"/>
      <x:name val="Arial"/>
    </x:font>
  </x:fonts>
  <x:fills count="4">
    <x:fill>
      <x:patternFill patternType="none"/>
    </x:fill>
    <x:fill>
      <x:patternFill patternType="gray125"/>
    </x:fill>
    <x:fill>
      <x:patternFill patternType="solid">
        <x:fgColor rgb="FF304B63"/>
      </x:patternFill>
    </x:fill>
    <x:fill>
      <x:patternFill patternType="solid">
        <x:fgColor rgb="FFFFF2CC"/>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0691197e784fde" /><Relationship Type="http://schemas.openxmlformats.org/officeDocument/2006/relationships/theme" Target="/xl/theme/theme1.xml" Id="R578d31c42ec14a92" /><Relationship Type="http://schemas.openxmlformats.org/officeDocument/2006/relationships/sharedStrings" Target="/xl/sharedStrings.xml" Id="Re84e1725319f4c23" /><Relationship Type="http://schemas.openxmlformats.org/officeDocument/2006/relationships/worksheet" Target="/xl/worksheets/sheet1.xml" Id="Ra1adff1f76cf49c8" /><Relationship Type="http://schemas.openxmlformats.org/officeDocument/2006/relationships/worksheet" Target="/xl/worksheets/sheet2.xml" Id="R1b8eb11f554d4939" /></Relationships>
</file>

<file path=xl/tables/table1.xml><?xml version="1.0" encoding="utf-8"?>
<x:table xmlns:x="http://schemas.openxmlformats.org/spreadsheetml/2006/main" id="1" name="SecondReview60" displayName="SecondReview60" ref="A5:W65" headerRowCount="1" totalsRowCount="0" totalsRowShown="0">
  <x:tableColumns count="23">
    <x:tableColumn id="1" name="评审号"/>
    <x:tableColumn id="2" name="重点20条"/>
    <x:tableColumn id="3" name="原始西语品名"/>
    <x:tableColumn id="4" name="原结果"/>
    <x:tableColumn id="5" name="复核结果"/>
    <x:tableColumn id="6" name="逐条AI复核依据"/>
    <x:tableColumn id="7" name="待确认状态"/>
    <x:tableColumn id="8" name="内容修正"/>
    <x:tableColumn id="9" name="复核主体"/>
    <x:tableColumn id="10" name="复核参照SKU"/>
    <x:tableColumn id="11" name="复核参照名称"/>
    <x:tableColumn id="12" name="复核关系"/>
    <x:tableColumn id="13" name="复核覆盖"/>
    <x:tableColumn id="14" name="原主体"/>
    <x:tableColumn id="15" name="原参照SKU"/>
    <x:tableColumn id="16" name="原参照名称"/>
    <x:tableColumn id="17" name="原参照关系"/>
    <x:tableColumn id="18" name="原覆盖"/>
    <x:tableColumn id="19" name="人工裁定"/>
    <x:tableColumn id="20" name="人工理由"/>
    <x:tableColumn id="21" name="审核人"/>
    <x:tableColumn id="22" name="record_id"/>
    <x:tableColumn id="23" name="source_has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de77ca21754f76" /></Relationships>
</file>

<file path=xl/worksheets/sheet1.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5" hidden="0" customWidth="1"/>
    <x:col min="4" max="4" width="15" hidden="0" customWidth="1"/>
    <x:col min="5" max="5" width="15" hidden="0" customWidth="1"/>
    <x:col min="6" max="6" width="10" hidden="0" customWidth="1"/>
  </x:cols>
  <x:sheetData>
    <x:row r="1">
      <x:c r="A1" s="3"/>
      <x:c r="B1" s="3"/>
      <x:c r="C1" s="3"/>
      <x:c r="D1" s="3"/>
      <x:c r="E1" s="3"/>
      <x:c r="F1" s="3"/>
    </x:row>
    <x:row r="2" ht="26" customHeight="1">
      <x:c r="A2" s="5" t="str">
        <x:v>V3.1：60条模型复核结论</x:v>
      </x:c>
      <x:c r="B2" s="3"/>
      <x:c r="C2" s="3"/>
      <x:c r="D2" s="3"/>
      <x:c r="E2" s="3"/>
      <x:c r="F2" s="3"/>
    </x:row>
    <x:row r="3">
      <x:c r="A3" s="3"/>
      <x:c r="B3" s="3"/>
      <x:c r="C3" s="3"/>
      <x:c r="D3" s="3"/>
      <x:c r="E3" s="3"/>
      <x:c r="F3" s="3"/>
    </x:row>
    <x:row r="4" ht="32" customHeight="1">
      <x:c r="A4" s="10" t="str">
        <x:v>范围</x:v>
      </x:c>
      <x:c r="B4" s="10" t="str">
        <x:v>保留</x:v>
      </x:c>
      <x:c r="C4" s="10" t="str">
        <x:v>观察</x:v>
      </x:c>
      <x:c r="D4" s="10" t="str">
        <x:v>用不到</x:v>
      </x:c>
      <x:c r="E4" s="10" t="str">
        <x:v>合计</x:v>
      </x:c>
      <x:c r="F4" s="3"/>
    </x:row>
    <x:row r="5" ht="26" customHeight="1">
      <x:c r="A5" s="3" t="str">
        <x:v>60条原结果</x:v>
      </x:c>
      <x:c r="B5" s="3" t="n">
        <x:v>28</x:v>
      </x:c>
      <x:c r="C5" s="3" t="n">
        <x:v>32</x:v>
      </x:c>
      <x:c r="D5" s="3" t="n">
        <x:v>0</x:v>
      </x:c>
      <x:c r="E5" s="3" t="n">
        <x:v>60</x:v>
      </x:c>
      <x:c r="F5" s="3"/>
    </x:row>
    <x:row r="6" ht="26" customHeight="1">
      <x:c r="A6" s="3" t="str">
        <x:v>60条复核后</x:v>
      </x:c>
      <x:c r="B6" s="3" t="n">
        <x:f>COUNTIF('60条逐条复核'!$E$6:$E$65,"保留")</x:f>
        <x:v>18</x:v>
      </x:c>
      <x:c r="C6" s="3" t="n">
        <x:f>COUNTIF('60条逐条复核'!$E$6:$E$65,"观察")</x:f>
        <x:v>42</x:v>
      </x:c>
      <x:c r="D6" s="3" t="n">
        <x:f>COUNTIF('60条逐条复核'!$E$6:$E$65,"用不到")</x:f>
        <x:v>0</x:v>
      </x:c>
      <x:c r="E6" s="3" t="n">
        <x:f>SUM(B6:D6)</x:f>
        <x:v>60</x:v>
      </x:c>
      <x:c r="F6" s="3"/>
    </x:row>
    <x:row r="7" ht="26" customHeight="1">
      <x:c r="A7" s="3" t="str">
        <x:v>其中：重点20条</x:v>
      </x:c>
      <x:c r="B7" s="3" t="n">
        <x:f>COUNTIFS('60条逐条复核'!$B$6:$B$65,"是",'60条逐条复核'!$E$6:$E$65,"保留")</x:f>
        <x:v>12</x:v>
      </x:c>
      <x:c r="C7" s="3" t="n">
        <x:f>COUNTIFS('60条逐条复核'!$B$6:$B$65,"是",'60条逐条复核'!$E$6:$E$65,"观察")</x:f>
        <x:v>8</x:v>
      </x:c>
      <x:c r="D7" s="3" t="n">
        <x:f>COUNTIFS('60条逐条复核'!$B$6:$B$65,"是",'60条逐条复核'!$E$6:$E$65,"用不到")</x:f>
        <x:v>0</x:v>
      </x:c>
      <x:c r="E7" s="3" t="n">
        <x:f>SUM(B7:D7)</x:f>
        <x:v>20</x:v>
      </x:c>
      <x:c r="F7" s="3"/>
    </x:row>
    <x:row r="8" ht="26" customHeight="1">
      <x:c r="A8" s="3" t="str">
        <x:v>未复核240条</x:v>
      </x:c>
      <x:c r="B8" s="3" t="str">
        <x:v>原结果保持不变</x:v>
      </x:c>
      <x:c r="C8" s="3"/>
      <x:c r="D8" s="3"/>
      <x:c r="E8" s="3" t="n">
        <x:v>240</x:v>
      </x:c>
      <x:c r="F8" s="3"/>
    </x:row>
    <x:row r="9">
      <x:c r="A9" s="3"/>
      <x:c r="B9" s="3"/>
      <x:c r="C9" s="3"/>
      <x:c r="D9" s="3"/>
      <x:c r="E9" s="3"/>
      <x:c r="F9" s="3"/>
    </x:row>
    <x:row r="10">
      <x:c r="A10" s="3"/>
      <x:c r="B10" s="3"/>
      <x:c r="C10" s="3"/>
      <x:c r="D10" s="3"/>
      <x:c r="E10" s="3"/>
      <x:c r="F10" s="3"/>
    </x:row>
    <x:row r="11" ht="32" customHeight="1">
      <x:c r="A11" s="10" t="str">
        <x:v>复核修正</x:v>
      </x:c>
      <x:c r="B11" s="10" t="str">
        <x:v>条数</x:v>
      </x:c>
      <x:c r="C11" s="3"/>
      <x:c r="D11" s="3"/>
      <x:c r="E11" s="3"/>
      <x:c r="F11" s="3"/>
    </x:row>
    <x:row r="12" ht="26" customHeight="1">
      <x:c r="A12" s="3" t="str">
        <x:v>主体／参照／覆盖修正</x:v>
      </x:c>
      <x:c r="B12" s="3" t="n">
        <x:f>COUNTIF('60条逐条复核'!$H$6:$H$65,"是")</x:f>
        <x:v>16</x:v>
      </x:c>
      <x:c r="C12" s="3"/>
      <x:c r="D12" s="3"/>
      <x:c r="E12" s="3"/>
      <x:c r="F12" s="3"/>
    </x:row>
    <x:row r="13" ht="26" customHeight="1">
      <x:c r="A13" s="3" t="str">
        <x:v>保留改为观察</x:v>
      </x:c>
      <x:c r="B13" s="3" t="n">
        <x:f>COUNTIFS('60条逐条复核'!$D$6:$D$65,"保留",'60条逐条复核'!$E$6:$E$65,"观察")</x:f>
        <x:v>10</x:v>
      </x:c>
      <x:c r="C13" s="3"/>
      <x:c r="D13" s="3"/>
      <x:c r="E13" s="3"/>
      <x:c r="F13" s="3"/>
    </x:row>
    <x:row r="14" ht="26" customHeight="1">
      <x:c r="A14" s="3" t="str">
        <x:v>人工确认标签</x:v>
      </x:c>
      <x:c r="B14" s="3" t="n">
        <x:v>0</x:v>
      </x:c>
      <x:c r="C14" s="3"/>
      <x:c r="D14" s="3"/>
      <x:c r="E14" s="3"/>
      <x:c r="F14" s="3"/>
    </x:row>
    <x:row r="15">
      <x:c r="A15" s="3"/>
      <x:c r="B15" s="3"/>
      <x:c r="C15" s="3"/>
      <x:c r="D15" s="3"/>
      <x:c r="E15" s="3"/>
      <x:c r="F15" s="3"/>
    </x:row>
    <x:row r="16">
      <x:c r="A16" s="3"/>
      <x:c r="B16" s="3"/>
      <x:c r="C16" s="3"/>
      <x:c r="D16" s="3"/>
      <x:c r="E16" s="3"/>
      <x:c r="F16" s="3"/>
    </x:row>
    <x:row r="17" ht="32" customHeight="1">
      <x:c r="A17" s="10" t="str">
        <x:v>观察的具体原因</x:v>
      </x:c>
      <x:c r="B17" s="10" t="str">
        <x:v>条数</x:v>
      </x:c>
      <x:c r="C17" s="3"/>
      <x:c r="D17" s="3"/>
      <x:c r="E17" s="3"/>
      <x:c r="F17" s="3"/>
    </x:row>
    <x:row r="18" ht="26" customHeight="1">
      <x:c r="A18" s="3" t="str">
        <x:v>参照或全套功能覆盖不足</x:v>
      </x:c>
      <x:c r="B18" s="3" t="n">
        <x:v>17</x:v>
      </x:c>
      <x:c r="C18" s="3"/>
      <x:c r="D18" s="3"/>
      <x:c r="E18" s="3"/>
      <x:c r="F18" s="3"/>
    </x:row>
    <x:row r="19" ht="26" customHeight="1">
      <x:c r="A19" s="3" t="str">
        <x:v>配件依赖与安装适配待确认</x:v>
      </x:c>
      <x:c r="B19" s="3" t="n">
        <x:v>9</x:v>
      </x:c>
      <x:c r="C19" s="3"/>
      <x:c r="D19" s="3"/>
      <x:c r="E19" s="3"/>
      <x:c r="F19" s="3"/>
    </x:row>
    <x:row r="20" ht="26" customHeight="1">
      <x:c r="A20" s="3" t="str">
        <x:v>经营边界待确认</x:v>
      </x:c>
      <x:c r="B20" s="3" t="n">
        <x:v>11</x:v>
      </x:c>
      <x:c r="C20" s="3"/>
      <x:c r="D20" s="3"/>
      <x:c r="E20" s="3"/>
      <x:c r="F20" s="3"/>
    </x:row>
    <x:row r="21" ht="26" customHeight="1">
      <x:c r="A21" s="3" t="str">
        <x:v>品名信息不足</x:v>
      </x:c>
      <x:c r="B21" s="3" t="n">
        <x:v>5</x:v>
      </x:c>
      <x:c r="C21" s="3"/>
      <x:c r="D21" s="3"/>
      <x:c r="E21" s="3"/>
      <x:c r="F21" s="3"/>
    </x:row>
    <x:row r="22">
      <x:c r="A22" s="3"/>
      <x:c r="B22" s="3"/>
      <x:c r="C22" s="3"/>
      <x:c r="D22" s="3"/>
      <x:c r="E22" s="3"/>
      <x:c r="F22" s="3"/>
    </x:row>
    <x:row r="23">
      <x:c r="A23" s="3"/>
      <x:c r="B23" s="3"/>
      <x:c r="C23" s="3"/>
      <x:c r="D23" s="3"/>
      <x:c r="E23" s="3"/>
      <x:c r="F23" s="3"/>
    </x:row>
    <x:row r="24" ht="25" customHeight="1">
      <x:c r="A24" s="6" t="str">
        <x:v>8条重点商品回到观察：017、036、075、133、143、223、231、272。</x:v>
      </x:c>
      <x:c r="B24" s="6"/>
      <x:c r="C24" s="6"/>
      <x:c r="D24" s="6"/>
      <x:c r="E24" s="6"/>
      <x:c r="F24" s="6"/>
    </x:row>
    <x:row r="25" ht="25" customHeight="1">
      <x:c r="A25" s="6" t="str">
        <x:v>另外012玻璃刮刀、019安全眼因参照覆盖不足，由保留改为观察。</x:v>
      </x:c>
      <x:c r="B25" s="6"/>
      <x:c r="C25" s="6"/>
      <x:c r="D25" s="6"/>
      <x:c r="E25" s="6"/>
      <x:c r="F25" s="6"/>
    </x:row>
    <x:row r="26" ht="25" customHeight="1">
      <x:c r="A26" s="6" t="str">
        <x:v>保留是AI候选意见；观察不是排除。不计算人工准确率，不新增人工标签。</x:v>
      </x:c>
      <x:c r="B26" s="6"/>
      <x:c r="C26" s="6"/>
      <x:c r="D26" s="6"/>
      <x:c r="E26" s="6"/>
      <x:c r="F26" s="6"/>
    </x:row>
    <x:row r="27" ht="25" customHeight="1">
      <x:c r="A27" s="6" t="str">
        <x:v>未扩大样本、未改Master、未改冻结规则、未合并main；原300条结果与旧表保留。</x:v>
      </x:c>
      <x:c r="B27" s="6"/>
      <x:c r="C27" s="6"/>
      <x:c r="D27" s="6"/>
      <x:c r="E27" s="6"/>
      <x:c r="F27" s="6"/>
    </x:row>
    <x:row r="28" ht="25" customHeight="1">
      <x:c r="A28" s="6" t="str">
        <x:v>来源：2026-10-22 Amazon 25,152条快照；Action冻结品名参照10,037条。</x:v>
      </x:c>
      <x:c r="B28" s="6"/>
      <x:c r="C28" s="6"/>
      <x:c r="D28" s="6"/>
      <x:c r="E28" s="6"/>
      <x:c r="F28" s="6"/>
    </x:row>
    <x:row r="29" ht="25" customHeight="1">
      <x:c r="A29" s="6" t="str">
        <x:v>240条未复核结果仅原样合成：300条现为保留142、观察158，不代表全300条重新审核。</x:v>
      </x:c>
      <x:c r="B29" s="6"/>
      <x:c r="C29" s="6"/>
      <x:c r="D29" s="6"/>
      <x:c r="E29" s="6"/>
      <x:c r="F29" s="6"/>
    </x:row>
    <x:row r="30">
      <x:c r="A30" s="3"/>
      <x:c r="B30" s="3"/>
      <x:c r="C30" s="3"/>
      <x:c r="D30" s="3"/>
      <x:c r="E30" s="3"/>
      <x:c r="F30" s="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4" hidden="0" customWidth="1"/>
    <x:col min="2" max="2" width="11" hidden="0" customWidth="1"/>
    <x:col min="3" max="3" width="72" hidden="0" customWidth="1"/>
    <x:col min="4" max="4" width="11" hidden="0" customWidth="1"/>
    <x:col min="5" max="5" width="11" hidden="0" customWidth="1"/>
    <x:col min="6" max="6" width="76" hidden="0" customWidth="1"/>
    <x:col min="7" max="7" width="40" hidden="0" customWidth="1"/>
    <x:col min="8" max="8" width="12" hidden="0" customWidth="1"/>
    <x:col min="9" max="9" width="34" hidden="0" customWidth="1"/>
    <x:col min="10" max="10" width="16" hidden="0" customWidth="1"/>
    <x:col min="11" max="11" width="48" hidden="0" customWidth="1"/>
    <x:col min="12" max="12" width="18" hidden="0" customWidth="1"/>
    <x:col min="13" max="13" width="15" hidden="0" customWidth="1"/>
    <x:col min="14" max="14" width="34" hidden="0" customWidth="1"/>
    <x:col min="15" max="15" width="16" hidden="0" customWidth="1"/>
    <x:col min="16" max="16" width="48" hidden="0" customWidth="1"/>
    <x:col min="17" max="17" width="18" hidden="0" customWidth="1"/>
    <x:col min="18" max="18" width="15" hidden="0" customWidth="1"/>
    <x:col min="19" max="19" width="14" hidden="0" customWidth="1"/>
    <x:col min="20" max="20" width="55" hidden="0" customWidth="1"/>
    <x:col min="21" max="21" width="18" hidden="0" customWidth="1"/>
    <x:col min="22" max="22" width="40" hidden="0" customWidth="1"/>
    <x:col min="23" max="23" width="69" hidden="0" customWidth="1"/>
  </x:cols>
  <x:sheetData>
    <x:row r="1">
      <x:c r="A1" s="3"/>
      <x:c r="B1" s="3"/>
      <x:c r="C1" s="3"/>
      <x:c r="D1" s="3"/>
      <x:c r="E1" s="3"/>
      <x:c r="F1" s="3"/>
      <x:c r="G1" s="3"/>
      <x:c r="H1" s="3"/>
      <x:c r="I1" s="3"/>
      <x:c r="J1" s="3"/>
      <x:c r="K1" s="3"/>
      <x:c r="L1" s="3"/>
      <x:c r="M1" s="3"/>
      <x:c r="N1" s="3"/>
      <x:c r="O1" s="3"/>
      <x:c r="P1" s="3"/>
      <x:c r="Q1" s="3"/>
      <x:c r="R1" s="3"/>
      <x:c r="S1" s="3"/>
      <x:c r="T1" s="3"/>
      <x:c r="U1" s="3"/>
      <x:c r="V1" s="3"/>
      <x:c r="W1" s="3"/>
    </x:row>
    <x:row r="2" ht="26" customHeight="1">
      <x:c r="A2" s="5" t="str">
        <x:v>60条AI复核：原结果与修正结果</x:v>
      </x:c>
      <x:c r="B2" s="3"/>
      <x:c r="C2" s="3"/>
      <x:c r="D2" s="3"/>
      <x:c r="E2" s="3"/>
      <x:c r="F2" s="3"/>
      <x:c r="G2" s="3"/>
      <x:c r="H2" s="3"/>
      <x:c r="I2" s="3"/>
      <x:c r="J2" s="3"/>
      <x:c r="K2" s="3"/>
      <x:c r="L2" s="3"/>
      <x:c r="M2" s="3"/>
      <x:c r="N2" s="3"/>
      <x:c r="O2" s="3"/>
      <x:c r="P2" s="3"/>
      <x:c r="Q2" s="3"/>
      <x:c r="R2" s="3"/>
      <x:c r="S2" s="3"/>
      <x:c r="T2" s="3"/>
      <x:c r="U2" s="3"/>
      <x:c r="V2" s="3"/>
      <x:c r="W2" s="3"/>
    </x:row>
    <x:row r="3">
      <x:c r="A3" s="6" t="str">
        <x:v>仅用原始品名和冻结Action参照；本表为AI复核候选。黄色S:U由真实审核人填写。</x:v>
      </x:c>
      <x:c r="B3" s="3"/>
      <x:c r="C3" s="3"/>
      <x:c r="D3" s="3"/>
      <x:c r="E3" s="3"/>
      <x:c r="F3" s="3"/>
      <x:c r="G3" s="3"/>
      <x:c r="H3" s="3"/>
      <x:c r="I3" s="3"/>
      <x:c r="J3" s="3"/>
      <x:c r="K3" s="3"/>
      <x:c r="L3" s="3"/>
      <x:c r="M3" s="3"/>
      <x:c r="N3" s="3"/>
      <x:c r="O3" s="3"/>
      <x:c r="P3" s="3"/>
      <x:c r="Q3" s="3"/>
      <x:c r="R3" s="3"/>
      <x:c r="S3" s="3"/>
      <x:c r="T3" s="3"/>
      <x:c r="U3" s="3"/>
      <x:c r="V3" s="3"/>
      <x:c r="W3" s="3"/>
    </x:row>
    <x:row r="4">
      <x:c r="A4" s="3"/>
      <x:c r="B4" s="3"/>
      <x:c r="C4" s="3"/>
      <x:c r="D4" s="3"/>
      <x:c r="E4" s="3"/>
      <x:c r="F4" s="3"/>
      <x:c r="G4" s="3"/>
      <x:c r="H4" s="3"/>
      <x:c r="I4" s="3"/>
      <x:c r="J4" s="3"/>
      <x:c r="K4" s="3"/>
      <x:c r="L4" s="3"/>
      <x:c r="M4" s="3"/>
      <x:c r="N4" s="3"/>
      <x:c r="O4" s="3"/>
      <x:c r="P4" s="3"/>
      <x:c r="Q4" s="3"/>
      <x:c r="R4" s="3"/>
      <x:c r="S4" s="3"/>
      <x:c r="T4" s="3"/>
      <x:c r="U4" s="3"/>
      <x:c r="V4" s="3"/>
      <x:c r="W4" s="3"/>
    </x:row>
    <x:row r="5" ht="32" customHeight="1">
      <x:c r="A5" s="10" t="str">
        <x:v>评审号</x:v>
      </x:c>
      <x:c r="B5" s="10" t="str">
        <x:v>重点20条</x:v>
      </x:c>
      <x:c r="C5" s="10" t="str">
        <x:v>原始西语品名</x:v>
      </x:c>
      <x:c r="D5" s="10" t="str">
        <x:v>原结果</x:v>
      </x:c>
      <x:c r="E5" s="10" t="str">
        <x:v>复核结果</x:v>
      </x:c>
      <x:c r="F5" s="10" t="str">
        <x:v>逐条AI复核依据</x:v>
      </x:c>
      <x:c r="G5" s="10" t="str">
        <x:v>待确认状态</x:v>
      </x:c>
      <x:c r="H5" s="10" t="str">
        <x:v>内容修正</x:v>
      </x:c>
      <x:c r="I5" s="10" t="str">
        <x:v>复核主体</x:v>
      </x:c>
      <x:c r="J5" s="10" t="str">
        <x:v>复核参照SKU</x:v>
      </x:c>
      <x:c r="K5" s="10" t="str">
        <x:v>复核参照名称</x:v>
      </x:c>
      <x:c r="L5" s="10" t="str">
        <x:v>复核关系</x:v>
      </x:c>
      <x:c r="M5" s="10" t="str">
        <x:v>复核覆盖</x:v>
      </x:c>
      <x:c r="N5" s="10" t="str">
        <x:v>原主体</x:v>
      </x:c>
      <x:c r="O5" s="10" t="str">
        <x:v>原参照SKU</x:v>
      </x:c>
      <x:c r="P5" s="10" t="str">
        <x:v>原参照名称</x:v>
      </x:c>
      <x:c r="Q5" s="10" t="str">
        <x:v>原参照关系</x:v>
      </x:c>
      <x:c r="R5" s="10" t="str">
        <x:v>原覆盖</x:v>
      </x:c>
      <x:c r="S5" s="10" t="str">
        <x:v>人工裁定</x:v>
      </x:c>
      <x:c r="T5" s="10" t="str">
        <x:v>人工理由</x:v>
      </x:c>
      <x:c r="U5" s="10" t="str">
        <x:v>审核人</x:v>
      </x:c>
      <x:c r="V5" s="10" t="str">
        <x:v>record_id</x:v>
      </x:c>
      <x:c r="W5" s="10" t="str">
        <x:v>source_hash</x:v>
      </x:c>
    </x:row>
    <x:row r="6" ht="100" customHeight="1">
      <x:c r="A6" s="3" t="str">
        <x:v>V31-005</x:v>
      </x:c>
      <x:c r="B6" s="3" t="str">
        <x:v>是</x:v>
      </x:c>
      <x:c r="C6" s="3" t="str">
        <x:v>espumador de leche,USB Recargable batidor de leche electrico, 3 velocidades ajustable espumadera de leche, batidora leche espuma para capuchino, café, matcha (Negro)</x:v>
      </x:c>
      <x:c r="D6" s="3" t="str">
        <x:v>保留</x:v>
      </x:c>
      <x:c r="E6" s="3" t="str">
        <x:v>保留</x:v>
      </x:c>
      <x:c r="F6" s="3" t="str">
        <x:v>标题明确奶泡器；DAY参照也明确奶泡器，支持主商品类型，不证明同等充电、速度或防水性能。</x:v>
      </x:c>
      <x:c r="G6" s="3" t="str">
        <x:v>候选保留，待人工确认</x:v>
      </x:c>
      <x:c r="H6" s="3" t="str">
        <x:v>否</x:v>
      </x:c>
      <x:c r="I6" s="3" t="str">
        <x:v>电动奶泡器</x:v>
      </x:c>
      <x:c r="J6" s="3" t="str">
        <x:v>3011080</x:v>
      </x:c>
      <x:c r="K6" s="3" t="str">
        <x:v>Espumador de leche DAY</x:v>
      </x:c>
      <x:c r="L6" s="3" t="str">
        <x:v>same_type</x:v>
      </x:c>
      <x:c r="M6" s="3" t="str">
        <x:v>subject</x:v>
      </x:c>
      <x:c r="N6" s="3" t="str">
        <x:v>电动奶泡器</x:v>
      </x:c>
      <x:c r="O6" s="3" t="str">
        <x:v>3011080</x:v>
      </x:c>
      <x:c r="P6" s="3" t="str">
        <x:v>Espumador de leche DAY</x:v>
      </x:c>
      <x:c r="Q6" s="3" t="str">
        <x:v>same_type</x:v>
      </x:c>
      <x:c r="R6" s="3" t="str">
        <x:v>subject</x:v>
      </x:c>
      <x:c r="S6" s="11"/>
      <x:c r="T6" s="11"/>
      <x:c r="U6" s="11"/>
      <x:c r="V6" s="3" t="str">
        <x:v>B0_84bacc4c6b66_023844</x:v>
      </x:c>
      <x:c r="W6" s="3" t="str">
        <x:v>e27b740581507146ecec2fb78bd2c4fc09011c0199ce9c4d56f794d680f18a81</x:v>
      </x:c>
    </x:row>
    <x:row r="7" ht="100" customHeight="1">
      <x:c r="A7" s="3" t="str">
        <x:v>V31-006</x:v>
      </x:c>
      <x:c r="B7" s="3" t="str">
        <x:v>是</x:v>
      </x:c>
      <x:c r="C7" s="3" t="str">
        <x:v>Maestri House Espumador de Leche, Recargable Espumador Leche Electrico | con Agitador de Acero Inoxidable, Impermeable Mini Batidor Electrico para Café, matcha, Lattes, capuchino, LunaFro NS</x:v>
      </x:c>
      <x:c r="D7" s="3" t="str">
        <x:v>保留</x:v>
      </x:c>
      <x:c r="E7" s="3" t="str">
        <x:v>保留</x:v>
      </x:c>
      <x:c r="F7" s="3" t="str">
        <x:v>主体为带搅拌头的充电奶泡器；与奶泡器参照同属商品类型，充电方式和性能不作匹配事实。</x:v>
      </x:c>
      <x:c r="G7" s="3" t="str">
        <x:v>候选保留，待人工确认</x:v>
      </x:c>
      <x:c r="H7" s="3" t="str">
        <x:v>否</x:v>
      </x:c>
      <x:c r="I7" s="3" t="str">
        <x:v>充电奶泡器</x:v>
      </x:c>
      <x:c r="J7" s="3" t="str">
        <x:v>3011080</x:v>
      </x:c>
      <x:c r="K7" s="3" t="str">
        <x:v>Espumador de leche DAY</x:v>
      </x:c>
      <x:c r="L7" s="3" t="str">
        <x:v>same_type</x:v>
      </x:c>
      <x:c r="M7" s="3" t="str">
        <x:v>subject</x:v>
      </x:c>
      <x:c r="N7" s="3" t="str">
        <x:v>充电奶泡器</x:v>
      </x:c>
      <x:c r="O7" s="3" t="str">
        <x:v>3011080</x:v>
      </x:c>
      <x:c r="P7" s="3" t="str">
        <x:v>Espumador de leche DAY</x:v>
      </x:c>
      <x:c r="Q7" s="3" t="str">
        <x:v>same_type</x:v>
      </x:c>
      <x:c r="R7" s="3" t="str">
        <x:v>subject</x:v>
      </x:c>
      <x:c r="S7" s="11"/>
      <x:c r="T7" s="11"/>
      <x:c r="U7" s="11"/>
      <x:c r="V7" s="3" t="str">
        <x:v>B0_84bacc4c6b66_012967</x:v>
      </x:c>
      <x:c r="W7" s="3" t="str">
        <x:v>df1e9f965494ea3c43bf021cf5a6b38394c4f8b89afc40a22235d008ddbc11f1</x:v>
      </x:c>
    </x:row>
    <x:row r="8" ht="100" customHeight="1">
      <x:c r="A8" s="3" t="str">
        <x:v>V31-017</x:v>
      </x:c>
      <x:c r="B8" s="3" t="str">
        <x:v>是</x:v>
      </x:c>
      <x:c r="C8" s="3" t="str">
        <x:v>Energizer - Destornillador eléctrico inalámbrico de 3,6 V, 3 Nm, 26 puntas de atornillado, batería 1500 mAh recargable, cable USB-C incluido, compacto y ligero, rosa</x:v>
      </x:c>
      <x:c r="D8" s="3" t="str">
        <x:v>保留</x:v>
      </x:c>
      <x:c r="E8" s="3" t="str">
        <x:v>观察</x:v>
      </x:c>
      <x:c r="F8" s="3" t="str">
        <x:v>标题明确包括26个批头及USB-C线；现有参照仅写充电螺丝刀，不能证明覆盖所售全部组件。保留主体识别，套装覆盖改为未知。</x:v>
      </x:c>
      <x:c r="G8" s="3" t="str">
        <x:v>待确认：REFERENCE_NOT_SUFFICIENT</x:v>
      </x:c>
      <x:c r="H8" s="3" t="str">
        <x:v>是</x:v>
      </x:c>
      <x:c r="I8" s="3" t="str">
        <x:v>充电电动螺丝刀</x:v>
      </x:c>
      <x:c r="J8" s="3" t="str">
        <x:v>2569820</x:v>
      </x:c>
      <x:c r="K8" s="3" t="str">
        <x:v>Destornillador a batería FERM</x:v>
      </x:c>
      <x:c r="L8" s="3" t="str">
        <x:v>same_type</x:v>
      </x:c>
      <x:c r="M8" s="3" t="str">
        <x:v>unknown</x:v>
      </x:c>
      <x:c r="N8" s="3" t="str">
        <x:v>充电电动螺丝刀</x:v>
      </x:c>
      <x:c r="O8" s="3" t="str">
        <x:v>2569820</x:v>
      </x:c>
      <x:c r="P8" s="3" t="str">
        <x:v>Destornillador a batería FERM</x:v>
      </x:c>
      <x:c r="Q8" s="3" t="str">
        <x:v>same_type</x:v>
      </x:c>
      <x:c r="R8" s="3" t="str">
        <x:v>subject</x:v>
      </x:c>
      <x:c r="S8" s="11"/>
      <x:c r="T8" s="11"/>
      <x:c r="U8" s="11"/>
      <x:c r="V8" s="3" t="str">
        <x:v>B0_84bacc4c6b66_006984</x:v>
      </x:c>
      <x:c r="W8" s="3" t="str">
        <x:v>4cca7320c7d7791d4054773a1323457221df047340d11798c4e13e0ec5e60aea</x:v>
      </x:c>
    </x:row>
    <x:row r="9" ht="100" customHeight="1">
      <x:c r="A9" s="3" t="str">
        <x:v>V31-028</x:v>
      </x:c>
      <x:c r="B9" s="3" t="str">
        <x:v>是</x:v>
      </x:c>
      <x:c r="C9" s="3" t="str">
        <x:v>Estufa de cuarzo 3 barras, con función anti-vuelco, potencias de 400-800-1200W, ideal para calentar espacios pequeños y medios.</x:v>
      </x:c>
      <x:c r="D9" s="3" t="str">
        <x:v>保留</x:v>
      </x:c>
      <x:c r="E9" s="3" t="str">
        <x:v>保留</x:v>
      </x:c>
      <x:c r="F9" s="3" t="str">
        <x:v>石英取暖器与陶瓷取暖器有相近室内取暖用途，但加热介质不同；维持相关类型，不称同款或同等安全性能。</x:v>
      </x:c>
      <x:c r="G9" s="3" t="str">
        <x:v>候选保留，待人工确认</x:v>
      </x:c>
      <x:c r="H9" s="3" t="str">
        <x:v>否</x:v>
      </x:c>
      <x:c r="I9" s="3" t="str">
        <x:v>石英取暖器</x:v>
      </x:c>
      <x:c r="J9" s="3" t="str">
        <x:v>3218113</x:v>
      </x:c>
      <x:c r="K9" s="3" t="str">
        <x:v>Calefactor de cerámica Nor-Tec</x:v>
      </x:c>
      <x:c r="L9" s="3" t="str">
        <x:v>related_type</x:v>
      </x:c>
      <x:c r="M9" s="3" t="str">
        <x:v>subject</x:v>
      </x:c>
      <x:c r="N9" s="3" t="str">
        <x:v>石英取暖器</x:v>
      </x:c>
      <x:c r="O9" s="3" t="str">
        <x:v>3218113</x:v>
      </x:c>
      <x:c r="P9" s="3" t="str">
        <x:v>Calefactor de cerámica Nor-Tec</x:v>
      </x:c>
      <x:c r="Q9" s="3" t="str">
        <x:v>related_type</x:v>
      </x:c>
      <x:c r="R9" s="3" t="str">
        <x:v>subject</x:v>
      </x:c>
      <x:c r="S9" s="11"/>
      <x:c r="T9" s="11"/>
      <x:c r="U9" s="11"/>
      <x:c r="V9" s="3" t="str">
        <x:v>B0_84bacc4c6b66_023225</x:v>
      </x:c>
      <x:c r="W9" s="3" t="str">
        <x:v>6cfef6d10b644a499d42abf04ce36393cdcbd73dcabab6118d3dcf1f48737147</x:v>
      </x:c>
    </x:row>
    <x:row r="10" ht="100" customHeight="1">
      <x:c r="A10" s="3" t="str">
        <x:v>V31-036</x:v>
      </x:c>
      <x:c r="B10" s="3" t="str">
        <x:v>是</x:v>
      </x:c>
      <x:c r="C10" s="3" t="str">
        <x:v>Ninja Foodi, Batidora de Mano 3 en 1, 2 Velocidades, 850 W, Negro</x:v>
      </x:c>
      <x:c r="D10" s="3" t="str">
        <x:v>保留</x:v>
      </x:c>
      <x:c r="E10" s="3" t="str">
        <x:v>观察</x:v>
      </x:c>
      <x:c r="F10" s="3" t="str">
        <x:v>手持搅拌机主体明确，但3 en 1的另两项功能和组成未列明；单一手持搅拌机参照不能证明完整覆盖，转观察。</x:v>
      </x:c>
      <x:c r="G10" s="3" t="str">
        <x:v>待确认：REFERENCE_NOT_SUFFICIENT</x:v>
      </x:c>
      <x:c r="H10" s="3" t="str">
        <x:v>是</x:v>
      </x:c>
      <x:c r="I10" s="3" t="str">
        <x:v>手持搅拌机</x:v>
      </x:c>
      <x:c r="J10" s="3" t="str">
        <x:v>3224693</x:v>
      </x:c>
      <x:c r="K10" s="3" t="str">
        <x:v>Batidora de mano MasterChef</x:v>
      </x:c>
      <x:c r="L10" s="3" t="str">
        <x:v>same_type</x:v>
      </x:c>
      <x:c r="M10" s="3" t="str">
        <x:v>unknown</x:v>
      </x:c>
      <x:c r="N10" s="3" t="str">
        <x:v>手持搅拌机</x:v>
      </x:c>
      <x:c r="O10" s="3" t="str">
        <x:v>3224693</x:v>
      </x:c>
      <x:c r="P10" s="3" t="str">
        <x:v>Batidora de mano MasterChef</x:v>
      </x:c>
      <x:c r="Q10" s="3" t="str">
        <x:v>same_type</x:v>
      </x:c>
      <x:c r="R10" s="3" t="str">
        <x:v>subject</x:v>
      </x:c>
      <x:c r="S10" s="11"/>
      <x:c r="T10" s="11"/>
      <x:c r="U10" s="11"/>
      <x:c r="V10" s="3" t="str">
        <x:v>B0_84bacc4c6b66_014259</x:v>
      </x:c>
      <x:c r="W10" s="3" t="str">
        <x:v>e9e8d9a3df35b84355f7df8b8516945a142482e0f5ce1134c55e6efc7555a940</x:v>
      </x:c>
    </x:row>
    <x:row r="11" ht="100" customHeight="1">
      <x:c r="A11" s="3" t="str">
        <x:v>V31-060</x:v>
      </x:c>
      <x:c r="B11" s="3" t="str">
        <x:v>是</x:v>
      </x:c>
      <x:c r="C11" s="3" t="str">
        <x:v>WMF Kitchenminis - Hervidor eléctrico para té de 1900 W y 1.0 l de capacidad, jarra de cristal, acabados de acero inoxidable de cromargan mate</x:v>
      </x:c>
      <x:c r="D11" s="3" t="str">
        <x:v>保留</x:v>
      </x:c>
      <x:c r="E11" s="3" t="str">
        <x:v>保留</x:v>
      </x:c>
      <x:c r="F11" s="3" t="str">
        <x:v>标题与参照均明确烧水壶，支持主商品类型；材质、功率和容量只保留为原题声称，不要求相同。</x:v>
      </x:c>
      <x:c r="G11" s="3" t="str">
        <x:v>候选保留，待人工确认</x:v>
      </x:c>
      <x:c r="H11" s="3" t="str">
        <x:v>否</x:v>
      </x:c>
      <x:c r="I11" s="3" t="str">
        <x:v>电热水壶</x:v>
      </x:c>
      <x:c r="J11" s="3" t="str">
        <x:v>2572831</x:v>
      </x:c>
      <x:c r="K11" s="3" t="str">
        <x:v>Hervidor de agua Tristar</x:v>
      </x:c>
      <x:c r="L11" s="3" t="str">
        <x:v>same_type</x:v>
      </x:c>
      <x:c r="M11" s="3" t="str">
        <x:v>subject</x:v>
      </x:c>
      <x:c r="N11" s="3" t="str">
        <x:v>电热水壶</x:v>
      </x:c>
      <x:c r="O11" s="3" t="str">
        <x:v>2572831</x:v>
      </x:c>
      <x:c r="P11" s="3" t="str">
        <x:v>Hervidor de agua Tristar</x:v>
      </x:c>
      <x:c r="Q11" s="3" t="str">
        <x:v>same_type</x:v>
      </x:c>
      <x:c r="R11" s="3" t="str">
        <x:v>subject</x:v>
      </x:c>
      <x:c r="S11" s="11"/>
      <x:c r="T11" s="11"/>
      <x:c r="U11" s="11"/>
      <x:c r="V11" s="3" t="str">
        <x:v>B0_84bacc4c6b66_021751</x:v>
      </x:c>
      <x:c r="W11" s="3" t="str">
        <x:v>646119fc23eb66da597a0778e3481c817b2c7f5d02602839085ada527256fd16</x:v>
      </x:c>
    </x:row>
    <x:row r="12" ht="100" customHeight="1">
      <x:c r="A12" s="3" t="str">
        <x:v>V31-075</x:v>
      </x:c>
      <x:c r="B12" s="3" t="str">
        <x:v>是</x:v>
      </x:c>
      <x:c r="C12" s="3" t="str">
        <x:v>DiliDala Aspirador de Mano, 28000PA Aspiradora de Coche, 4 en 1 Aspirador Coche con Motor Sin Escobillas, 3 Niveles, Mini Aspiradora Sin Cable para Pelo de Mascotas, Coche, Hogar</x:v>
      </x:c>
      <x:c r="D12" s="3" t="str">
        <x:v>保留</x:v>
      </x:c>
      <x:c r="E12" s="3" t="str">
        <x:v>观察</x:v>
      </x:c>
      <x:c r="F12" s="3" t="str">
        <x:v>手持车家吸尘器主体明确，但4 en 1未展开；普通手持吸尘器参照不能覆盖未说明的额外功能，转观察。</x:v>
      </x:c>
      <x:c r="G12" s="3" t="str">
        <x:v>待确认：REFERENCE_NOT_SUFFICIENT</x:v>
      </x:c>
      <x:c r="H12" s="3" t="str">
        <x:v>是</x:v>
      </x:c>
      <x:c r="I12" s="3" t="str">
        <x:v>车家两用手持吸尘器</x:v>
      </x:c>
      <x:c r="J12" s="3" t="str">
        <x:v>3218132</x:v>
      </x:c>
      <x:c r="K12" s="3" t="str">
        <x:v>Aspirador de mano inalámbrico Dirt Devil</x:v>
      </x:c>
      <x:c r="L12" s="3" t="str">
        <x:v>same_type</x:v>
      </x:c>
      <x:c r="M12" s="3" t="str">
        <x:v>unknown</x:v>
      </x:c>
      <x:c r="N12" s="3" t="str">
        <x:v>车家两用手持吸尘器</x:v>
      </x:c>
      <x:c r="O12" s="3" t="str">
        <x:v>3218132</x:v>
      </x:c>
      <x:c r="P12" s="3" t="str">
        <x:v>Aspirador de mano inalámbrico Dirt Devil</x:v>
      </x:c>
      <x:c r="Q12" s="3" t="str">
        <x:v>same_type</x:v>
      </x:c>
      <x:c r="R12" s="3" t="str">
        <x:v>subject</x:v>
      </x:c>
      <x:c r="S12" s="11"/>
      <x:c r="T12" s="11"/>
      <x:c r="U12" s="11"/>
      <x:c r="V12" s="3" t="str">
        <x:v>B0_84bacc4c6b66_006218</x:v>
      </x:c>
      <x:c r="W12" s="3" t="str">
        <x:v>ea15e6c298a749ed0b022e08d8e4f5a7107ba771678008b3ffbf8affd5d2b64b</x:v>
      </x:c>
    </x:row>
    <x:row r="13" ht="100" customHeight="1">
      <x:c r="A13" s="3" t="str">
        <x:v>V31-089</x:v>
      </x:c>
      <x:c r="B13" s="3" t="str">
        <x:v>是</x:v>
      </x:c>
      <x:c r="C13" s="3" t="str">
        <x:v>Russell Hobbs Hervidor de Agua Eléctrico Textures - 1,7 litros, 2400 W, Filtro Extraíble, Zona de Ebullición Rápida, Base de 360°, Indicador Nivel Agua, Plástico Alto Brillo, sin BPA, Negro - 22591-70</x:v>
      </x:c>
      <x:c r="D13" s="3" t="str">
        <x:v>保留</x:v>
      </x:c>
      <x:c r="E13" s="3" t="str">
        <x:v>保留</x:v>
      </x:c>
      <x:c r="F13" s="3" t="str">
        <x:v>电热水壶与烧水壶参照属于同类日用主体；具体温控、容量及无BPA声称不由参照背书。</x:v>
      </x:c>
      <x:c r="G13" s="3" t="str">
        <x:v>候选保留，待人工确认</x:v>
      </x:c>
      <x:c r="H13" s="3" t="str">
        <x:v>否</x:v>
      </x:c>
      <x:c r="I13" s="3" t="str">
        <x:v>电热水壶</x:v>
      </x:c>
      <x:c r="J13" s="3" t="str">
        <x:v>2572831</x:v>
      </x:c>
      <x:c r="K13" s="3" t="str">
        <x:v>Hervidor de agua Tristar</x:v>
      </x:c>
      <x:c r="L13" s="3" t="str">
        <x:v>same_type</x:v>
      </x:c>
      <x:c r="M13" s="3" t="str">
        <x:v>subject</x:v>
      </x:c>
      <x:c r="N13" s="3" t="str">
        <x:v>电热水壶</x:v>
      </x:c>
      <x:c r="O13" s="3" t="str">
        <x:v>2572831</x:v>
      </x:c>
      <x:c r="P13" s="3" t="str">
        <x:v>Hervidor de agua Tristar</x:v>
      </x:c>
      <x:c r="Q13" s="3" t="str">
        <x:v>same_type</x:v>
      </x:c>
      <x:c r="R13" s="3" t="str">
        <x:v>subject</x:v>
      </x:c>
      <x:c r="S13" s="11"/>
      <x:c r="T13" s="11"/>
      <x:c r="U13" s="11"/>
      <x:c r="V13" s="3" t="str">
        <x:v>B0_84bacc4c6b66_017624</x:v>
      </x:c>
      <x:c r="W13" s="3" t="str">
        <x:v>08535f2ad0119555b4f1c760a3e7559a6bced7e129e4c643d874d7655581243a</x:v>
      </x:c>
    </x:row>
    <x:row r="14" ht="100" customHeight="1">
      <x:c r="A14" s="3" t="str">
        <x:v>V31-106</x:v>
      </x:c>
      <x:c r="B14" s="3" t="str">
        <x:v>是</x:v>
      </x:c>
      <x:c r="C14" s="3" t="str">
        <x:v>Black+Decker- Aspiradora Escoba Vertical 2 en 1, 600W, HEPA, Sin Bolsa</x:v>
      </x:c>
      <x:c r="D14" s="3" t="str">
        <x:v>保留</x:v>
      </x:c>
      <x:c r="E14" s="3" t="str">
        <x:v>保留</x:v>
      </x:c>
      <x:c r="F14" s="3" t="str">
        <x:v>改用明确写有mango 2 en 1的Action吸尘器参照，替代仅写无线的泛参照；仅支持二合一吸尘器商品族，不证明HEPA或供电方式相同。</x:v>
      </x:c>
      <x:c r="G14" s="3" t="str">
        <x:v>候选保留，待人工确认</x:v>
      </x:c>
      <x:c r="H14" s="3" t="str">
        <x:v>是</x:v>
      </x:c>
      <x:c r="I14" s="3" t="str">
        <x:v>立式二合一吸尘器</x:v>
      </x:c>
      <x:c r="J14" s="3" t="str">
        <x:v>3223007</x:v>
      </x:c>
      <x:c r="K14" s="3" t="str">
        <x:v>Aspiradora con mango 2 en 1 Beldray</x:v>
      </x:c>
      <x:c r="L14" s="3" t="str">
        <x:v>related_type</x:v>
      </x:c>
      <x:c r="M14" s="3" t="str">
        <x:v>subject</x:v>
      </x:c>
      <x:c r="N14" s="3" t="str">
        <x:v>立式二合一吸尘器</x:v>
      </x:c>
      <x:c r="O14" s="3" t="str">
        <x:v>3220407</x:v>
      </x:c>
      <x:c r="P14" s="3" t="str">
        <x:v>Aspiradora sin cables Beldray</x:v>
      </x:c>
      <x:c r="Q14" s="3" t="str">
        <x:v>related_type</x:v>
      </x:c>
      <x:c r="R14" s="3" t="str">
        <x:v>subject</x:v>
      </x:c>
      <x:c r="S14" s="11"/>
      <x:c r="T14" s="11"/>
      <x:c r="U14" s="11"/>
      <x:c r="V14" s="3" t="str">
        <x:v>B0_84bacc4c6b66_002907</x:v>
      </x:c>
      <x:c r="W14" s="3" t="str">
        <x:v>d7da18e358d6f90b0710c2173fe27fc66cb02fdc3b6b7a8e922abd8f6f97138c</x:v>
      </x:c>
    </x:row>
    <x:row r="15" ht="100" customHeight="1">
      <x:c r="A15" s="3" t="str">
        <x:v>V31-114</x:v>
      </x:c>
      <x:c r="B15" s="3" t="str">
        <x:v>是</x:v>
      </x:c>
      <x:c r="C15" s="3" t="str">
        <x:v>GRIFEMA GC1001 Hervidor de Agua Eléctrico 0,8 litros, 1100 W de Potencia, Base 360º, Filtro Antical Desmontable, Sistema de Seguridad, Plástico</x:v>
      </x:c>
      <x:c r="D15" s="3" t="str">
        <x:v>保留</x:v>
      </x:c>
      <x:c r="E15" s="3" t="str">
        <x:v>保留</x:v>
      </x:c>
      <x:c r="F15" s="3" t="str">
        <x:v>电热水壶主体和烧水用途均有标题依据，Action同类参照有效；不推断旅行适用性。</x:v>
      </x:c>
      <x:c r="G15" s="3" t="str">
        <x:v>候选保留，待人工确认</x:v>
      </x:c>
      <x:c r="H15" s="3" t="str">
        <x:v>否</x:v>
      </x:c>
      <x:c r="I15" s="3" t="str">
        <x:v>小容量电热水壶</x:v>
      </x:c>
      <x:c r="J15" s="3" t="str">
        <x:v>2572831</x:v>
      </x:c>
      <x:c r="K15" s="3" t="str">
        <x:v>Hervidor de agua Tristar</x:v>
      </x:c>
      <x:c r="L15" s="3" t="str">
        <x:v>same_type</x:v>
      </x:c>
      <x:c r="M15" s="3" t="str">
        <x:v>subject</x:v>
      </x:c>
      <x:c r="N15" s="3" t="str">
        <x:v>小容量电热水壶</x:v>
      </x:c>
      <x:c r="O15" s="3" t="str">
        <x:v>2572831</x:v>
      </x:c>
      <x:c r="P15" s="3" t="str">
        <x:v>Hervidor de agua Tristar</x:v>
      </x:c>
      <x:c r="Q15" s="3" t="str">
        <x:v>same_type</x:v>
      </x:c>
      <x:c r="R15" s="3" t="str">
        <x:v>subject</x:v>
      </x:c>
      <x:c r="S15" s="11"/>
      <x:c r="T15" s="11"/>
      <x:c r="U15" s="11"/>
      <x:c r="V15" s="3" t="str">
        <x:v>B0_84bacc4c6b66_008282</x:v>
      </x:c>
      <x:c r="W15" s="3" t="str">
        <x:v>936ce381b6bd19385bc18c0a70d48175ab1fc0d73b23a1de257abbffdb726034</x:v>
      </x:c>
    </x:row>
    <x:row r="16" ht="100" customHeight="1">
      <x:c r="A16" s="3" t="str">
        <x:v>V31-123</x:v>
      </x:c>
      <x:c r="B16" s="3" t="str">
        <x:v>是</x:v>
      </x:c>
      <x:c r="C16" s="3" t="str">
        <x:v>Cecotec Freidora Eléctrica CleanFry Infinity 1500. Freidora de Aceite de 1,5 litros de Capacidad, 900W de Potencia, Filtro OilCleaner, Cubeta Antiadherente, Tapa con Filtro y Ventana de Control</x:v>
      </x:c>
      <x:c r="D16" s="3" t="str">
        <x:v>保留</x:v>
      </x:c>
      <x:c r="E16" s="3" t="str">
        <x:v>保留</x:v>
      </x:c>
      <x:c r="F16" s="3" t="str">
        <x:v>原题明确油炸锅，Action只写Freidora，不能据此确认油炸而非其他形式；改为相关类型，保留炸锅主体层面的参照，不声称油路或过滤性能同类。</x:v>
      </x:c>
      <x:c r="G16" s="3" t="str">
        <x:v>候选保留，待人工确认</x:v>
      </x:c>
      <x:c r="H16" s="3" t="str">
        <x:v>是</x:v>
      </x:c>
      <x:c r="I16" s="3" t="str">
        <x:v>家用电炸锅</x:v>
      </x:c>
      <x:c r="J16" s="3" t="str">
        <x:v>3200734</x:v>
      </x:c>
      <x:c r="K16" s="3" t="str">
        <x:v>Freidora Tristar</x:v>
      </x:c>
      <x:c r="L16" s="3" t="str">
        <x:v>related_type</x:v>
      </x:c>
      <x:c r="M16" s="3" t="str">
        <x:v>subject</x:v>
      </x:c>
      <x:c r="N16" s="3" t="str">
        <x:v>家用电炸锅</x:v>
      </x:c>
      <x:c r="O16" s="3" t="str">
        <x:v>3200734</x:v>
      </x:c>
      <x:c r="P16" s="3" t="str">
        <x:v>Freidora Tristar</x:v>
      </x:c>
      <x:c r="Q16" s="3" t="str">
        <x:v>same_type</x:v>
      </x:c>
      <x:c r="R16" s="3" t="str">
        <x:v>subject</x:v>
      </x:c>
      <x:c r="S16" s="11"/>
      <x:c r="T16" s="11"/>
      <x:c r="U16" s="11"/>
      <x:c r="V16" s="3" t="str">
        <x:v>B0_84bacc4c6b66_004333</x:v>
      </x:c>
      <x:c r="W16" s="3" t="str">
        <x:v>4fc52cf581bf23cd4168d10c84ba0542455c4f98562b93cff63d53d2e055afa6</x:v>
      </x:c>
    </x:row>
    <x:row r="17" ht="100" customHeight="1">
      <x:c r="A17" s="3" t="str">
        <x:v>V31-127</x:v>
      </x:c>
      <x:c r="B17" s="3" t="str">
        <x:v>是</x:v>
      </x:c>
      <x:c r="C17" s="3" t="str">
        <x:v>Zynet Aspiradora Sin Cable,45KPa/550W/45Min,Escoba Aspiradora Sin Cable | Tubo Plegable,Motor sin Escobillas,Base de Carga Mural,Pantalla LED,Para Mascotas,Suelos y Alfombras</x:v>
      </x:c>
      <x:c r="D17" s="3" t="str">
        <x:v>保留</x:v>
      </x:c>
      <x:c r="E17" s="3" t="str">
        <x:v>保留</x:v>
      </x:c>
      <x:c r="F17" s="3" t="str">
        <x:v>无线立式吸尘器主体明确；Action只写无线吸尘器，故同类关系降为相关类型，不推断Action立式结构或相同续航。</x:v>
      </x:c>
      <x:c r="G17" s="3" t="str">
        <x:v>候选保留，待人工确认</x:v>
      </x:c>
      <x:c r="H17" s="3" t="str">
        <x:v>是</x:v>
      </x:c>
      <x:c r="I17" s="3" t="str">
        <x:v>无线立式吸尘器</x:v>
      </x:c>
      <x:c r="J17" s="3" t="str">
        <x:v>3220407</x:v>
      </x:c>
      <x:c r="K17" s="3" t="str">
        <x:v>Aspiradora sin cables Beldray</x:v>
      </x:c>
      <x:c r="L17" s="3" t="str">
        <x:v>related_type</x:v>
      </x:c>
      <x:c r="M17" s="3" t="str">
        <x:v>subject</x:v>
      </x:c>
      <x:c r="N17" s="3" t="str">
        <x:v>无线立式吸尘器</x:v>
      </x:c>
      <x:c r="O17" s="3" t="str">
        <x:v>3220407</x:v>
      </x:c>
      <x:c r="P17" s="3" t="str">
        <x:v>Aspiradora sin cables Beldray</x:v>
      </x:c>
      <x:c r="Q17" s="3" t="str">
        <x:v>same_type</x:v>
      </x:c>
      <x:c r="R17" s="3" t="str">
        <x:v>subject</x:v>
      </x:c>
      <x:c r="S17" s="11"/>
      <x:c r="T17" s="11"/>
      <x:c r="U17" s="11"/>
      <x:c r="V17" s="3" t="str">
        <x:v>B0_84bacc4c6b66_023086</x:v>
      </x:c>
      <x:c r="W17" s="3" t="str">
        <x:v>7a53bee77b815e2f895fd5e3e2b752ab36e8ce1d2c1a48f67f670763d3f9bd4f</x:v>
      </x:c>
    </x:row>
    <x:row r="18" ht="100" customHeight="1">
      <x:c r="A18" s="3" t="str">
        <x:v>V31-133</x:v>
      </x:c>
      <x:c r="B18" s="3" t="str">
        <x:v>是</x:v>
      </x:c>
      <x:c r="C18" s="3" t="str">
        <x:v>H.Koenig ALP1800 - Fondue, capacidad de 2 l, 800 W, color rojo</x:v>
      </x:c>
      <x:c r="D18" s="3" t="str">
        <x:v>保留</x:v>
      </x:c>
      <x:c r="E18" s="3" t="str">
        <x:v>观察</x:v>
      </x:c>
      <x:c r="F18" s="3" t="str">
        <x:v>Fondue只足以识别电热蘸食锅，不宜译成火锅或推断油、奶酪用途；巧克力fondue参照仅覆盖一种蘸食用途，整体覆盖降为部分，转观察。</x:v>
      </x:c>
      <x:c r="G18" s="3" t="str">
        <x:v>待确认：REFERENCE_NOT_SUFFICIENT</x:v>
      </x:c>
      <x:c r="H18" s="3" t="str">
        <x:v>是</x:v>
      </x:c>
      <x:c r="I18" s="3" t="str">
        <x:v>电热蘸食锅（fondue）</x:v>
      </x:c>
      <x:c r="J18" s="3" t="str">
        <x:v>3206515</x:v>
      </x:c>
      <x:c r="K18" s="3" t="str">
        <x:v>Fondue de chocolate</x:v>
      </x:c>
      <x:c r="L18" s="3" t="str">
        <x:v>related_type</x:v>
      </x:c>
      <x:c r="M18" s="3" t="str">
        <x:v>partial</x:v>
      </x:c>
      <x:c r="N18" s="3" t="str">
        <x:v>电加热火锅蘸酱锅</x:v>
      </x:c>
      <x:c r="O18" s="3" t="str">
        <x:v>3206515</x:v>
      </x:c>
      <x:c r="P18" s="3" t="str">
        <x:v>Fondue de chocolate</x:v>
      </x:c>
      <x:c r="Q18" s="3" t="str">
        <x:v>related_type</x:v>
      </x:c>
      <x:c r="R18" s="3" t="str">
        <x:v>subject</x:v>
      </x:c>
      <x:c r="S18" s="11"/>
      <x:c r="T18" s="11"/>
      <x:c r="U18" s="11"/>
      <x:c r="V18" s="3" t="str">
        <x:v>B0_84bacc4c6b66_008904</x:v>
      </x:c>
      <x:c r="W18" s="3" t="str">
        <x:v>9be46ca14bf3aa6cd6cddec3fbae19c444e68f947b4a80237f1a5cd5329287d1</x:v>
      </x:c>
    </x:row>
    <x:row r="19" ht="100" customHeight="1">
      <x:c r="A19" s="3" t="str">
        <x:v>V31-143</x:v>
      </x:c>
      <x:c r="B19" s="3" t="str">
        <x:v>是</x:v>
      </x:c>
      <x:c r="C19" s="3" t="str">
        <x:v>Hgtraco Aspiradora antiacaros,16kPa succión Potente,UV &amp; Ultrasonidos,Desinfección Aire Caliente,Triple Filtro,Doble LED,Aspirador de Mano para colchones,sofás,Cojines.</x:v>
      </x:c>
      <x:c r="D19" s="3" t="str">
        <x:v>保留</x:v>
      </x:c>
      <x:c r="E19" s="3" t="str">
        <x:v>观察</x:v>
      </x:c>
      <x:c r="F19" s="3" t="str">
        <x:v>标题销售床褥清洁用手持吸尘器并声称UV、超声及热风消毒；普通手持吸尘器只覆盖吸尘，不能证明覆盖这些功能或医疗功效，转观察。</x:v>
      </x:c>
      <x:c r="G19" s="3" t="str">
        <x:v>待确认：REFERENCE_NOT_SUFFICIENT</x:v>
      </x:c>
      <x:c r="H19" s="3" t="str">
        <x:v>是</x:v>
      </x:c>
      <x:c r="I19" s="3" t="str">
        <x:v>床褥用手持吸尘器（标题声称UV等功能）</x:v>
      </x:c>
      <x:c r="J19" s="3" t="str">
        <x:v>3218132</x:v>
      </x:c>
      <x:c r="K19" s="3" t="str">
        <x:v>Aspirador de mano inalámbrico Dirt Devil</x:v>
      </x:c>
      <x:c r="L19" s="3" t="str">
        <x:v>related_type</x:v>
      </x:c>
      <x:c r="M19" s="3" t="str">
        <x:v>partial</x:v>
      </x:c>
      <x:c r="N19" s="3" t="str">
        <x:v>床褥手持吸尘器</x:v>
      </x:c>
      <x:c r="O19" s="3" t="str">
        <x:v>3218132</x:v>
      </x:c>
      <x:c r="P19" s="3" t="str">
        <x:v>Aspirador de mano inalámbrico Dirt Devil</x:v>
      </x:c>
      <x:c r="Q19" s="3" t="str">
        <x:v>related_type</x:v>
      </x:c>
      <x:c r="R19" s="3" t="str">
        <x:v>subject</x:v>
      </x:c>
      <x:c r="S19" s="11"/>
      <x:c r="T19" s="11"/>
      <x:c r="U19" s="11"/>
      <x:c r="V19" s="3" t="str">
        <x:v>B0_84bacc4c6b66_009694</x:v>
      </x:c>
      <x:c r="W19" s="3" t="str">
        <x:v>f5020bcb1671c476b10207d2fcd7ed3cc3b3f9fc5ad9838db029c5bf9e407e24</x:v>
      </x:c>
    </x:row>
    <x:row r="20" ht="100" customHeight="1">
      <x:c r="A20" s="3" t="str">
        <x:v>V31-145</x:v>
      </x:c>
      <x:c r="B20" s="3" t="str">
        <x:v>是</x:v>
      </x:c>
      <x:c r="C20" s="3" t="str">
        <x:v>Ufesa EX4950 Exprimidor Eléctrico de Brazo, 600W, Vertido Continuo, Sistema Antigoteo, Doble Cono, Filtro de Acero Inoxidable, Brazo para la Extracción del Zumo, Desmontable, Sin BPA, Negro Inox</x:v>
      </x:c>
      <x:c r="D20" s="3" t="str">
        <x:v>保留</x:v>
      </x:c>
      <x:c r="E20" s="3" t="str">
        <x:v>保留</x:v>
      </x:c>
      <x:c r="F20" s="3" t="str">
        <x:v>压臂式电动榨汁器与电动榨汁器参照属于相近商品族；Action标题未证明压臂结构，关系降为相关类型，主榨汁用途仍可参照。</x:v>
      </x:c>
      <x:c r="G20" s="3" t="str">
        <x:v>候选保留，待人工确认</x:v>
      </x:c>
      <x:c r="H20" s="3" t="str">
        <x:v>是</x:v>
      </x:c>
      <x:c r="I20" s="3" t="str">
        <x:v>压臂式电动榨汁器</x:v>
      </x:c>
      <x:c r="J20" s="3" t="str">
        <x:v>3203964</x:v>
      </x:c>
      <x:c r="K20" s="3" t="str">
        <x:v>Exprimidor eléctrico Home Essentials</x:v>
      </x:c>
      <x:c r="L20" s="3" t="str">
        <x:v>related_type</x:v>
      </x:c>
      <x:c r="M20" s="3" t="str">
        <x:v>subject</x:v>
      </x:c>
      <x:c r="N20" s="3" t="str">
        <x:v>压臂式电动榨汁器</x:v>
      </x:c>
      <x:c r="O20" s="3" t="str">
        <x:v>3203964</x:v>
      </x:c>
      <x:c r="P20" s="3" t="str">
        <x:v>Exprimidor eléctrico Home Essentials</x:v>
      </x:c>
      <x:c r="Q20" s="3" t="str">
        <x:v>same_type</x:v>
      </x:c>
      <x:c r="R20" s="3" t="str">
        <x:v>subject</x:v>
      </x:c>
      <x:c r="S20" s="11"/>
      <x:c r="T20" s="11"/>
      <x:c r="U20" s="11"/>
      <x:c r="V20" s="3" t="str">
        <x:v>B0_84bacc4c6b66_020585</x:v>
      </x:c>
      <x:c r="W20" s="3" t="str">
        <x:v>76f5d8fd023129951f3c3c05178e1f076d45a5e3009e4fbd2f780026e6a825f4</x:v>
      </x:c>
    </x:row>
    <x:row r="21" ht="100" customHeight="1">
      <x:c r="A21" s="3" t="str">
        <x:v>V31-160</x:v>
      </x:c>
      <x:c r="B21" s="3" t="str">
        <x:v>是</x:v>
      </x:c>
      <x:c r="C21" s="3" t="str">
        <x:v>Tefal Ultracompact Classic, Grill de 2000W, 3 Modos, Función Sandwichera</x:v>
      </x:c>
      <x:c r="D21" s="3" t="str">
        <x:v>保留</x:v>
      </x:c>
      <x:c r="E21" s="3" t="str">
        <x:v>保留</x:v>
      </x:c>
      <x:c r="F21" s="3" t="str">
        <x:v>Grill加sandwichera可识别电烤压烤机；接触式烤炉参照支持核心商品族，不由此证明三模式的具体内容。</x:v>
      </x:c>
      <x:c r="G21" s="3" t="str">
        <x:v>候选保留，待人工确认</x:v>
      </x:c>
      <x:c r="H21" s="3" t="str">
        <x:v>否</x:v>
      </x:c>
      <x:c r="I21" s="3" t="str">
        <x:v>电接触式烤炉</x:v>
      </x:c>
      <x:c r="J21" s="3" t="str">
        <x:v>2572826</x:v>
      </x:c>
      <x:c r="K21" s="3" t="str">
        <x:v>Parrilla de contacto Tristar</x:v>
      </x:c>
      <x:c r="L21" s="3" t="str">
        <x:v>same_type</x:v>
      </x:c>
      <x:c r="M21" s="3" t="str">
        <x:v>subject</x:v>
      </x:c>
      <x:c r="N21" s="3" t="str">
        <x:v>电接触式烤炉</x:v>
      </x:c>
      <x:c r="O21" s="3" t="str">
        <x:v>2572826</x:v>
      </x:c>
      <x:c r="P21" s="3" t="str">
        <x:v>Parrilla de contacto Tristar</x:v>
      </x:c>
      <x:c r="Q21" s="3" t="str">
        <x:v>same_type</x:v>
      </x:c>
      <x:c r="R21" s="3" t="str">
        <x:v>subject</x:v>
      </x:c>
      <x:c r="S21" s="11"/>
      <x:c r="T21" s="11"/>
      <x:c r="U21" s="11"/>
      <x:c r="V21" s="3" t="str">
        <x:v>B0_84bacc4c6b66_019889</x:v>
      </x:c>
      <x:c r="W21" s="3" t="str">
        <x:v>49c183d1ae332bb78f56ff3449e3d9f90f4a1fc820c3463038ed2c133bc4f6c8</x:v>
      </x:c>
    </x:row>
    <x:row r="22" ht="100" customHeight="1">
      <x:c r="A22" s="3" t="str">
        <x:v>V31-223</x:v>
      </x:c>
      <x:c r="B22" s="3" t="str">
        <x:v>是</x:v>
      </x:c>
      <x:c r="C22" s="3" t="str">
        <x:v>NK Set 2 Molinillos Eléctricos de Sal y Pimienta - 70 ml con LED | Base doble y cepillo de limpieza incluidos, cuerpo ABS negro, 25 W y formato compacto para cocina y mesa</x:v>
      </x:c>
      <x:c r="D22" s="3" t="str">
        <x:v>保留</x:v>
      </x:c>
      <x:c r="E22" s="3" t="str">
        <x:v>观察</x:v>
      </x:c>
      <x:c r="F22" s="3" t="str">
        <x:v>实际出售两只研磨器、双座及清洁刷；单只电动盐胡椒研磨器参照不足以证明全套覆盖，商品形态改为套装、覆盖未知，转观察。</x:v>
      </x:c>
      <x:c r="G22" s="3" t="str">
        <x:v>待确认：REFERENCE_NOT_SUFFICIENT</x:v>
      </x:c>
      <x:c r="H22" s="3" t="str">
        <x:v>是</x:v>
      </x:c>
      <x:c r="I22" s="3" t="str">
        <x:v>电动盐胡椒研磨器组</x:v>
      </x:c>
      <x:c r="J22" s="3" t="str">
        <x:v>3206265</x:v>
      </x:c>
      <x:c r="K22" s="3" t="str">
        <x:v>Molinillo eléctrico de pimienta/sal Tristar</x:v>
      </x:c>
      <x:c r="L22" s="3" t="str">
        <x:v>same_type</x:v>
      </x:c>
      <x:c r="M22" s="3" t="str">
        <x:v>unknown</x:v>
      </x:c>
      <x:c r="N22" s="3" t="str">
        <x:v>电动盐胡椒研磨器组</x:v>
      </x:c>
      <x:c r="O22" s="3" t="str">
        <x:v>3206265</x:v>
      </x:c>
      <x:c r="P22" s="3" t="str">
        <x:v>Molinillo eléctrico de pimienta/sal Tristar</x:v>
      </x:c>
      <x:c r="Q22" s="3" t="str">
        <x:v>same_type</x:v>
      </x:c>
      <x:c r="R22" s="3" t="str">
        <x:v>subject</x:v>
      </x:c>
      <x:c r="S22" s="11"/>
      <x:c r="T22" s="11"/>
      <x:c r="U22" s="11"/>
      <x:c r="V22" s="3" t="str">
        <x:v>B0_84bacc4c6b66_014026</x:v>
      </x:c>
      <x:c r="W22" s="3" t="str">
        <x:v>ae6c1978af0fb62ed1e268958ad86cb94b5acf2b70d0d5b2d9e72ff97125b459</x:v>
      </x:c>
    </x:row>
    <x:row r="23" ht="100" customHeight="1">
      <x:c r="A23" s="3" t="str">
        <x:v>V31-231</x:v>
      </x:c>
      <x:c r="B23" s="3" t="str">
        <x:v>是</x:v>
      </x:c>
      <x:c r="C23" s="3" t="str">
        <x:v>Ufesa Cafetera de Goteo Ariccia Programable 900W, 14 Tazas, 1,8L, Pantalla Táctil, Acero Inoxidable, Filtro de Nylon Extraíble, Jarra de Cristal Alta Temperatura, Apta para Lavavajillas, Antigoteo</x:v>
      </x:c>
      <x:c r="D23" s="3" t="str">
        <x:v>保留</x:v>
      </x:c>
      <x:c r="E23" s="3" t="str">
        <x:v>观察</x:v>
      </x:c>
      <x:c r="F23" s="3" t="str">
        <x:v>原题明确可编程滴滤咖啡机，Action只写Cafetera；不能由品牌型号补出滴滤结构，参照粒度不足，覆盖改为未知，转观察。</x:v>
      </x:c>
      <x:c r="G23" s="3" t="str">
        <x:v>待确认：REFERENCE_NOT_SUFFICIENT</x:v>
      </x:c>
      <x:c r="H23" s="3" t="str">
        <x:v>是</x:v>
      </x:c>
      <x:c r="I23" s="3" t="str">
        <x:v>可编程滴滤咖啡机</x:v>
      </x:c>
      <x:c r="J23" s="3" t="str">
        <x:v>3201736</x:v>
      </x:c>
      <x:c r="K23" s="3" t="str">
        <x:v>Cafetera Tomado Superior</x:v>
      </x:c>
      <x:c r="L23" s="3" t="str">
        <x:v>related_type</x:v>
      </x:c>
      <x:c r="M23" s="3" t="str">
        <x:v>unknown</x:v>
      </x:c>
      <x:c r="N23" s="3" t="str">
        <x:v>可编程滴滤咖啡机</x:v>
      </x:c>
      <x:c r="O23" s="3" t="str">
        <x:v>3201736</x:v>
      </x:c>
      <x:c r="P23" s="3" t="str">
        <x:v>Cafetera Tomado Superior</x:v>
      </x:c>
      <x:c r="Q23" s="3" t="str">
        <x:v>related_type</x:v>
      </x:c>
      <x:c r="R23" s="3" t="str">
        <x:v>subject</x:v>
      </x:c>
      <x:c r="S23" s="11"/>
      <x:c r="T23" s="11"/>
      <x:c r="U23" s="11"/>
      <x:c r="V23" s="3" t="str">
        <x:v>B0_84bacc4c6b66_020588</x:v>
      </x:c>
      <x:c r="W23" s="3" t="str">
        <x:v>20d9f3c4683878d48f829d022627fff8850361090c702bbd5543556cbb6a6859</x:v>
      </x:c>
    </x:row>
    <x:row r="24" ht="100" customHeight="1">
      <x:c r="A24" s="3" t="str">
        <x:v>V31-272</x:v>
      </x:c>
      <x:c r="B24" s="3" t="str">
        <x:v>是</x:v>
      </x:c>
      <x:c r="C24" s="3" t="str">
        <x:v>Taladro Percutor a Bateria 58Nm, 35+3 Ajustes, Motor Brushless | Taladro de Batería can Batería de 2000 mAh, 2 Velocidades, Luz LED, 29 Piezas, Juego de Accesorios para Casa, Jardín</x:v>
      </x:c>
      <x:c r="D24" s="3" t="str">
        <x:v>保留</x:v>
      </x:c>
      <x:c r="E24" s="3" t="str">
        <x:v>观察</x:v>
      </x:c>
      <x:c r="F24" s="3" t="str">
        <x:v>商品为电池冲击钻及29件配件套装，配件清单不明；Action仅写冲击钻，不能证明覆盖全部配件，改套装且覆盖未知，转观察。</x:v>
      </x:c>
      <x:c r="G24" s="3" t="str">
        <x:v>待确认：REFERENCE_NOT_SUFFICIENT</x:v>
      </x:c>
      <x:c r="H24" s="3" t="str">
        <x:v>是</x:v>
      </x:c>
      <x:c r="I24" s="3" t="str">
        <x:v>充电冲击钻套装</x:v>
      </x:c>
      <x:c r="J24" s="3" t="str">
        <x:v>3219543</x:v>
      </x:c>
      <x:c r="K24" s="3" t="str">
        <x:v>Taladro de percusión FERM</x:v>
      </x:c>
      <x:c r="L24" s="3" t="str">
        <x:v>same_type</x:v>
      </x:c>
      <x:c r="M24" s="3" t="str">
        <x:v>unknown</x:v>
      </x:c>
      <x:c r="N24" s="3" t="str">
        <x:v>充电冲击钻套装</x:v>
      </x:c>
      <x:c r="O24" s="3" t="str">
        <x:v>3219543</x:v>
      </x:c>
      <x:c r="P24" s="3" t="str">
        <x:v>Taladro de percusión FERM</x:v>
      </x:c>
      <x:c r="Q24" s="3" t="str">
        <x:v>same_type</x:v>
      </x:c>
      <x:c r="R24" s="3" t="str">
        <x:v>subject</x:v>
      </x:c>
      <x:c r="S24" s="11"/>
      <x:c r="T24" s="11"/>
      <x:c r="U24" s="11"/>
      <x:c r="V24" s="3" t="str">
        <x:v>B0_84bacc4c6b66_019566</x:v>
      </x:c>
      <x:c r="W24" s="3" t="str">
        <x:v>694b14dead2190f4215d4dd33ddec9f8499a3759856841ce74568cdb36f03eb3</x:v>
      </x:c>
    </x:row>
    <x:row r="25" ht="100" customHeight="1">
      <x:c r="A25" s="3" t="str">
        <x:v>V31-296</x:v>
      </x:c>
      <x:c r="B25" s="3" t="str">
        <x:v>是</x:v>
      </x:c>
      <x:c r="C25" s="3" t="str">
        <x:v>Moulinex Easy Fry Max 5L, Freidora de aire, 10 Programas, 6 Personas</x:v>
      </x:c>
      <x:c r="D25" s="3" t="str">
        <x:v>保留</x:v>
      </x:c>
      <x:c r="E25" s="3" t="str">
        <x:v>保留</x:v>
      </x:c>
      <x:c r="F25" s="3" t="str">
        <x:v>标题明确空气炸锅，Action也明确Freidora de aire；主商品类型参照有效，不比较容量、人数或程序性能。</x:v>
      </x:c>
      <x:c r="G25" s="3" t="str">
        <x:v>候选保留，待人工确认</x:v>
      </x:c>
      <x:c r="H25" s="3" t="str">
        <x:v>否</x:v>
      </x:c>
      <x:c r="I25" s="3" t="str">
        <x:v>家用空气炸锅</x:v>
      </x:c>
      <x:c r="J25" s="3" t="str">
        <x:v>3225024</x:v>
      </x:c>
      <x:c r="K25" s="3" t="str">
        <x:v>Freidora de aire XXL</x:v>
      </x:c>
      <x:c r="L25" s="3" t="str">
        <x:v>same_type</x:v>
      </x:c>
      <x:c r="M25" s="3" t="str">
        <x:v>subject</x:v>
      </x:c>
      <x:c r="N25" s="3" t="str">
        <x:v>家用空气炸锅</x:v>
      </x:c>
      <x:c r="O25" s="3" t="str">
        <x:v>3225024</x:v>
      </x:c>
      <x:c r="P25" s="3" t="str">
        <x:v>Freidora de aire XXL</x:v>
      </x:c>
      <x:c r="Q25" s="3" t="str">
        <x:v>same_type</x:v>
      </x:c>
      <x:c r="R25" s="3" t="str">
        <x:v>subject</x:v>
      </x:c>
      <x:c r="S25" s="11"/>
      <x:c r="T25" s="11"/>
      <x:c r="U25" s="11"/>
      <x:c r="V25" s="3" t="str">
        <x:v>B0_84bacc4c6b66_013783</x:v>
      </x:c>
      <x:c r="W25" s="3" t="str">
        <x:v>db454c082be120b997c7451a87dc14331e3e19f05ae16a77dc248c088440c488</x:v>
      </x:c>
    </x:row>
    <x:row r="26" ht="100" customHeight="1">
      <x:c r="A26" s="3" t="str">
        <x:v>V31-055</x:v>
      </x:c>
      <x:c r="B26" s="3" t="str">
        <x:v>否</x:v>
      </x:c>
      <x:c r="C26" s="3" t="str">
        <x:v>Interruptor Diferencial FI, Interruptor Magnetotérmico Diferencial RCBO | 30mA, Interruptor Automático 1P+N C16 16A con Protección Diferencial, 230V, Tipo A, Montaje en Carril DIN, Curva C</x:v>
      </x:c>
      <x:c r="D26" s="3" t="str">
        <x:v>观察</x:v>
      </x:c>
      <x:c r="E26" s="3" t="str">
        <x:v>观察</x:v>
      </x:c>
      <x:c r="F26" s="3" t="str">
        <x:v>主体是DIN导轨RCBO漏电过流断路器，非插线板或整机；安装适配及经营范围未确认，继续观察。</x:v>
      </x:c>
      <x:c r="G26" s="3" t="str">
        <x:v>待确认：DEPENDENCY_SCOPE_UNCONFIRMED</x:v>
      </x:c>
      <x:c r="H26" s="3" t="str">
        <x:v>否</x:v>
      </x:c>
      <x:c r="I26" s="3" t="str">
        <x:v>漏电过流保护断路器</x:v>
      </x:c>
      <x:c r="J26" s="3" t="str"/>
      <x:c r="K26" s="3" t="str"/>
      <x:c r="L26" s="3" t="str">
        <x:v>none</x:v>
      </x:c>
      <x:c r="M26" s="3" t="str">
        <x:v>unknown</x:v>
      </x:c>
      <x:c r="N26" s="3" t="str">
        <x:v>漏电过流保护断路器</x:v>
      </x:c>
      <x:c r="O26" s="3" t="str"/>
      <x:c r="P26" s="3" t="str"/>
      <x:c r="Q26" s="3" t="str">
        <x:v>none</x:v>
      </x:c>
      <x:c r="R26" s="3" t="str">
        <x:v>unknown</x:v>
      </x:c>
      <x:c r="S26" s="11"/>
      <x:c r="T26" s="11"/>
      <x:c r="U26" s="11"/>
      <x:c r="V26" s="3" t="str">
        <x:v>B0_84bacc4c6b66_010365</x:v>
      </x:c>
      <x:c r="W26" s="3" t="str">
        <x:v>22c88cee833605ae098a0a22432e44aa2a73cbcfae3581aaba1f0ee198761e03</x:v>
      </x:c>
    </x:row>
    <x:row r="27" ht="100" customHeight="1">
      <x:c r="A27" s="3" t="str">
        <x:v>V31-100</x:v>
      </x:c>
      <x:c r="B27" s="3" t="str">
        <x:v>否</x:v>
      </x:c>
      <x:c r="C27" s="3" t="str">
        <x:v>TMEZON Videoportero 4 Hilos,Timbre Video Sistema de intercomunicación con 7 zoll Monitor y Timbre con Cable,Vista en Vivo y conversación, Desbloqueo por Monitor Interior,16 Tonos de Llamada,1 Monitor</x:v>
      </x:c>
      <x:c r="D27" s="3" t="str">
        <x:v>观察</x:v>
      </x:c>
      <x:c r="E27" s="3" t="str">
        <x:v>观察</x:v>
      </x:c>
      <x:c r="F27" s="3" t="str">
        <x:v>主体为带室内屏的有线可视门铃对讲系统；安装、锁控适配与经营范围未确认，不能当普通门铃直接保留。</x:v>
      </x:c>
      <x:c r="G27" s="3" t="str">
        <x:v>待确认：OPERATING_SCOPE_UNCONFIRMED</x:v>
      </x:c>
      <x:c r="H27" s="3" t="str">
        <x:v>否</x:v>
      </x:c>
      <x:c r="I27" s="3" t="str">
        <x:v>有线可视门禁对讲系统</x:v>
      </x:c>
      <x:c r="J27" s="3" t="str"/>
      <x:c r="K27" s="3" t="str"/>
      <x:c r="L27" s="3" t="str">
        <x:v>none</x:v>
      </x:c>
      <x:c r="M27" s="3" t="str">
        <x:v>unknown</x:v>
      </x:c>
      <x:c r="N27" s="3" t="str">
        <x:v>有线可视门禁对讲系统</x:v>
      </x:c>
      <x:c r="O27" s="3" t="str"/>
      <x:c r="P27" s="3" t="str"/>
      <x:c r="Q27" s="3" t="str">
        <x:v>none</x:v>
      </x:c>
      <x:c r="R27" s="3" t="str">
        <x:v>unknown</x:v>
      </x:c>
      <x:c r="S27" s="11"/>
      <x:c r="T27" s="11"/>
      <x:c r="U27" s="11"/>
      <x:c r="V27" s="3" t="str">
        <x:v>B0_84bacc4c6b66_019372</x:v>
      </x:c>
      <x:c r="W27" s="3" t="str">
        <x:v>994f25011912d43695d6b6fd0a67c874dcee0b99c3a667d60f06fe89b99a9adb</x:v>
      </x:c>
    </x:row>
    <x:row r="28" ht="100" customHeight="1">
      <x:c r="A28" s="3" t="str">
        <x:v>V31-111</x:v>
      </x:c>
      <x:c r="B28" s="3" t="str">
        <x:v>否</x:v>
      </x:c>
      <x:c r="C28" s="3" t="str">
        <x:v>KRATKI Estufa de leña de Hierro Fundido ANTEK 10 kW Ø 150 Kit Salida de Humos, Ecodesign - calefacción ecológica eficiente para casa</x:v>
      </x:c>
      <x:c r="D28" s="3" t="str">
        <x:v>观察</x:v>
      </x:c>
      <x:c r="E28" s="3" t="str">
        <x:v>观察</x:v>
      </x:c>
      <x:c r="F28" s="3" t="str">
        <x:v>主体为铸铁燃木炉并含排烟套件，标题能识别炉具；排烟安装和经营范围未获裁定，继续观察，不套用其他机型排除意见。</x:v>
      </x:c>
      <x:c r="G28" s="3" t="str">
        <x:v>待确认：OPERATING_SCOPE_UNCONFIRMED</x:v>
      </x:c>
      <x:c r="H28" s="3" t="str">
        <x:v>否</x:v>
      </x:c>
      <x:c r="I28" s="3" t="str">
        <x:v>带烟道组件的燃木炉</x:v>
      </x:c>
      <x:c r="J28" s="3" t="str"/>
      <x:c r="K28" s="3" t="str"/>
      <x:c r="L28" s="3" t="str">
        <x:v>none</x:v>
      </x:c>
      <x:c r="M28" s="3" t="str">
        <x:v>unknown</x:v>
      </x:c>
      <x:c r="N28" s="3" t="str">
        <x:v>带烟道组件的燃木炉</x:v>
      </x:c>
      <x:c r="O28" s="3" t="str"/>
      <x:c r="P28" s="3" t="str"/>
      <x:c r="Q28" s="3" t="str">
        <x:v>none</x:v>
      </x:c>
      <x:c r="R28" s="3" t="str">
        <x:v>unknown</x:v>
      </x:c>
      <x:c r="S28" s="11"/>
      <x:c r="T28" s="11"/>
      <x:c r="U28" s="11"/>
      <x:c r="V28" s="3" t="str">
        <x:v>B0_84bacc4c6b66_011208</x:v>
      </x:c>
      <x:c r="W28" s="3" t="str">
        <x:v>2ddfc840e4db550dc54eadc41b37f0f2f65b1cb638186bec3b979e186b9e807d</x:v>
      </x:c>
    </x:row>
    <x:row r="29" ht="100" customHeight="1">
      <x:c r="A29" s="3" t="str">
        <x:v>V31-175</x:v>
      </x:c>
      <x:c r="B29" s="3" t="str">
        <x:v>否</x:v>
      </x:c>
      <x:c r="C29" s="3" t="str">
        <x:v>Molde de lingote de hierro fundido 100 oz con mango, para fundir oro y | Molde de hierro fundido resistente para lingotes de 100 oz Con mango para un vertido seguro. Adecuado para oro, plata, cobre</x:v>
      </x:c>
      <x:c r="D29" s="3" t="str">
        <x:v>观察</x:v>
      </x:c>
      <x:c r="E29" s="3" t="str">
        <x:v>观察</x:v>
      </x:c>
      <x:c r="F29" s="3" t="str">
        <x:v>铸铁金属铸锭模具用于原题所述金银铜，不是成套工业熔炼机也不是烘焙模具；专业用途经营边界待确认。</x:v>
      </x:c>
      <x:c r="G29" s="3" t="str">
        <x:v>待确认：OPERATING_SCOPE_UNCONFIRMED</x:v>
      </x:c>
      <x:c r="H29" s="3" t="str">
        <x:v>否</x:v>
      </x:c>
      <x:c r="I29" s="3" t="str">
        <x:v>金属铸锭模具</x:v>
      </x:c>
      <x:c r="J29" s="3" t="str"/>
      <x:c r="K29" s="3" t="str"/>
      <x:c r="L29" s="3" t="str">
        <x:v>none</x:v>
      </x:c>
      <x:c r="M29" s="3" t="str">
        <x:v>unknown</x:v>
      </x:c>
      <x:c r="N29" s="3" t="str">
        <x:v>金属铸锭模具</x:v>
      </x:c>
      <x:c r="O29" s="3" t="str"/>
      <x:c r="P29" s="3" t="str"/>
      <x:c r="Q29" s="3" t="str">
        <x:v>none</x:v>
      </x:c>
      <x:c r="R29" s="3" t="str">
        <x:v>unknown</x:v>
      </x:c>
      <x:c r="S29" s="11"/>
      <x:c r="T29" s="11"/>
      <x:c r="U29" s="11"/>
      <x:c r="V29" s="3" t="str">
        <x:v>B0_84bacc4c6b66_013574</x:v>
      </x:c>
      <x:c r="W29" s="3" t="str">
        <x:v>504ed29c45683381aecd09c75a4766551528c9c148e86fa4508a3bc95ea42e64</x:v>
      </x:c>
    </x:row>
    <x:row r="30" ht="100" customHeight="1">
      <x:c r="A30" s="3" t="str">
        <x:v>V31-189</x:v>
      </x:c>
      <x:c r="B30" s="3" t="str">
        <x:v>否</x:v>
      </x:c>
      <x:c r="C30" s="3" t="str">
        <x:v>Estufa de leña grande modelo G 14.3 Kw | Chimenea moderna de leña con puerta cristal | Estufa de leña clásica para salón</x:v>
      </x:c>
      <x:c r="D30" s="3" t="str">
        <x:v>观察</x:v>
      </x:c>
      <x:c r="E30" s="3" t="str">
        <x:v>观察</x:v>
      </x:c>
      <x:c r="F30" s="3" t="str">
        <x:v>原题明确大型燃木炉，不是小型电暖器；完整取暖炉的经营范围待确认，维持观察。</x:v>
      </x:c>
      <x:c r="G30" s="3" t="str">
        <x:v>待确认：OPERATING_SCOPE_UNCONFIRMED</x:v>
      </x:c>
      <x:c r="H30" s="3" t="str">
        <x:v>否</x:v>
      </x:c>
      <x:c r="I30" s="3" t="str">
        <x:v>大型燃木取暖炉</x:v>
      </x:c>
      <x:c r="J30" s="3" t="str"/>
      <x:c r="K30" s="3" t="str"/>
      <x:c r="L30" s="3" t="str">
        <x:v>none</x:v>
      </x:c>
      <x:c r="M30" s="3" t="str">
        <x:v>unknown</x:v>
      </x:c>
      <x:c r="N30" s="3" t="str">
        <x:v>大型燃木取暖炉</x:v>
      </x:c>
      <x:c r="O30" s="3" t="str"/>
      <x:c r="P30" s="3" t="str"/>
      <x:c r="Q30" s="3" t="str">
        <x:v>none</x:v>
      </x:c>
      <x:c r="R30" s="3" t="str">
        <x:v>unknown</x:v>
      </x:c>
      <x:c r="S30" s="11"/>
      <x:c r="T30" s="11"/>
      <x:c r="U30" s="11"/>
      <x:c r="V30" s="3" t="str">
        <x:v>B0_84bacc4c6b66_007240</x:v>
      </x:c>
      <x:c r="W30" s="3" t="str">
        <x:v>c938ba41b2cf5332147aaaa7c8b8b04782619907b5042cf6cc0f5caa9b923b33</x:v>
      </x:c>
    </x:row>
    <x:row r="31" ht="100" customHeight="1">
      <x:c r="A31" s="3" t="str">
        <x:v>V31-202</x:v>
      </x:c>
      <x:c r="B31" s="3" t="str">
        <x:v>否</x:v>
      </x:c>
      <x:c r="C31" s="3" t="str">
        <x:v>iRobot Roomba Plus 416 Combo y Base AutoWash, Aspirador y Friegasuelos, Accesorios Extra, 20000Pa, Mopa Extensible, Mopas DualClean Elevables, Secado Calor, LiDAR Clearview, Autonomía 90 días, Blanco</x:v>
      </x:c>
      <x:c r="D31" s="3" t="str">
        <x:v>观察</x:v>
      </x:c>
      <x:c r="E31" s="3" t="str">
        <x:v>观察</x:v>
      </x:c>
      <x:c r="F31" s="3" t="str">
        <x:v>主体为吸拖机器人及AutoWash基站；普通立式吸尘器只反映吸尘需求，不能覆盖自动拖洗基站。90天不自行解释为电池续航。</x:v>
      </x:c>
      <x:c r="G31" s="3" t="str">
        <x:v>待确认：OPERATING_SCOPE_UNCONFIRMED</x:v>
      </x:c>
      <x:c r="H31" s="3" t="str">
        <x:v>否</x:v>
      </x:c>
      <x:c r="I31" s="3" t="str">
        <x:v>带自清洗基站的扫拖机器人</x:v>
      </x:c>
      <x:c r="J31" s="3" t="str">
        <x:v>3005298</x:v>
      </x:c>
      <x:c r="K31" s="3" t="str">
        <x:v>Aspirador de escoba Sauber</x:v>
      </x:c>
      <x:c r="L31" s="3" t="str">
        <x:v>specific_need</x:v>
      </x:c>
      <x:c r="M31" s="3" t="str">
        <x:v>partial</x:v>
      </x:c>
      <x:c r="N31" s="3" t="str">
        <x:v>带自清洗基站的扫拖机器人</x:v>
      </x:c>
      <x:c r="O31" s="3" t="str">
        <x:v>3005298</x:v>
      </x:c>
      <x:c r="P31" s="3" t="str">
        <x:v>Aspirador de escoba Sauber</x:v>
      </x:c>
      <x:c r="Q31" s="3" t="str">
        <x:v>specific_need</x:v>
      </x:c>
      <x:c r="R31" s="3" t="str">
        <x:v>partial</x:v>
      </x:c>
      <x:c r="S31" s="11"/>
      <x:c r="T31" s="11"/>
      <x:c r="U31" s="11"/>
      <x:c r="V31" s="3" t="str">
        <x:v>B0_84bacc4c6b66_024069</x:v>
      </x:c>
      <x:c r="W31" s="3" t="str">
        <x:v>4001319df26df844d2e0df96eaf4268d093e59e3bb341629c1092e6b6ecae619</x:v>
      </x:c>
    </x:row>
    <x:row r="32" ht="100" customHeight="1">
      <x:c r="A32" s="3" t="str">
        <x:v>V31-205</x:v>
      </x:c>
      <x:c r="B32" s="3" t="str">
        <x:v>否</x:v>
      </x:c>
      <x:c r="C32" s="3" t="str">
        <x:v>dreame Aqua10 Ultra Roller Complete, Robot Aspirador con Mopa AquaRoll</x:v>
      </x:c>
      <x:c r="D32" s="3" t="str">
        <x:v>观察</x:v>
      </x:c>
      <x:c r="E32" s="3" t="str">
        <x:v>观察</x:v>
      </x:c>
      <x:c r="F32" s="3" t="str">
        <x:v>原题明确机器人及滚筒拖地功能，Complete不足以补出具体基站构成；普通吸尘器仅部分用途参照，经营范围未裁定。</x:v>
      </x:c>
      <x:c r="G32" s="3" t="str">
        <x:v>待确认：OPERATING_SCOPE_UNCONFIRMED</x:v>
      </x:c>
      <x:c r="H32" s="3" t="str">
        <x:v>否</x:v>
      </x:c>
      <x:c r="I32" s="3" t="str">
        <x:v>滚筒拖地扫地机器人</x:v>
      </x:c>
      <x:c r="J32" s="3" t="str">
        <x:v>3005298</x:v>
      </x:c>
      <x:c r="K32" s="3" t="str">
        <x:v>Aspirador de escoba Sauber</x:v>
      </x:c>
      <x:c r="L32" s="3" t="str">
        <x:v>specific_need</x:v>
      </x:c>
      <x:c r="M32" s="3" t="str">
        <x:v>partial</x:v>
      </x:c>
      <x:c r="N32" s="3" t="str">
        <x:v>滚筒拖地扫地机器人</x:v>
      </x:c>
      <x:c r="O32" s="3" t="str">
        <x:v>3005298</x:v>
      </x:c>
      <x:c r="P32" s="3" t="str">
        <x:v>Aspirador de escoba Sauber</x:v>
      </x:c>
      <x:c r="Q32" s="3" t="str">
        <x:v>specific_need</x:v>
      </x:c>
      <x:c r="R32" s="3" t="str">
        <x:v>partial</x:v>
      </x:c>
      <x:c r="S32" s="11"/>
      <x:c r="T32" s="11"/>
      <x:c r="U32" s="11"/>
      <x:c r="V32" s="3" t="str">
        <x:v>B0_84bacc4c6b66_001894</x:v>
      </x:c>
      <x:c r="W32" s="3" t="str">
        <x:v>a81a9bdaf7c6353b41461e143fa6078c9add87f6e59da06c65a737f6d0911b2a</x:v>
      </x:c>
    </x:row>
    <x:row r="33" ht="100" customHeight="1">
      <x:c r="A33" s="3" t="str">
        <x:v>V31-206</x:v>
      </x:c>
      <x:c r="B33" s="3" t="str">
        <x:v>否</x:v>
      </x:c>
      <x:c r="C33" s="3" t="str">
        <x:v>XIAOMI H50 Pro Robot Aspirador con Fregado, 15000Pa, Brazo Extensible | Sistema Antienredos Dual, Auto-Limpieza y Secado Aire Caliente, Elevación 10mm Alfombras, evit. Gran Angular</x:v>
      </x:c>
      <x:c r="D33" s="3" t="str">
        <x:v>观察</x:v>
      </x:c>
      <x:c r="E33" s="3" t="str">
        <x:v>观察</x:v>
      </x:c>
      <x:c r="F33" s="3" t="str">
        <x:v>原题为带拖地、自清洁与热风功能的机器人，不是普通立式吸尘器；维持范围待确认，相关功能均为标题声称。</x:v>
      </x:c>
      <x:c r="G33" s="3" t="str">
        <x:v>待确认：OPERATING_SCOPE_UNCONFIRMED</x:v>
      </x:c>
      <x:c r="H33" s="3" t="str">
        <x:v>否</x:v>
      </x:c>
      <x:c r="I33" s="3" t="str">
        <x:v>自清洗扫拖机器人</x:v>
      </x:c>
      <x:c r="J33" s="3" t="str">
        <x:v>3005298</x:v>
      </x:c>
      <x:c r="K33" s="3" t="str">
        <x:v>Aspirador de escoba Sauber</x:v>
      </x:c>
      <x:c r="L33" s="3" t="str">
        <x:v>specific_need</x:v>
      </x:c>
      <x:c r="M33" s="3" t="str">
        <x:v>partial</x:v>
      </x:c>
      <x:c r="N33" s="3" t="str">
        <x:v>自清洗扫拖机器人</x:v>
      </x:c>
      <x:c r="O33" s="3" t="str">
        <x:v>3005298</x:v>
      </x:c>
      <x:c r="P33" s="3" t="str">
        <x:v>Aspirador de escoba Sauber</x:v>
      </x:c>
      <x:c r="Q33" s="3" t="str">
        <x:v>specific_need</x:v>
      </x:c>
      <x:c r="R33" s="3" t="str">
        <x:v>partial</x:v>
      </x:c>
      <x:c r="S33" s="11"/>
      <x:c r="T33" s="11"/>
      <x:c r="U33" s="11"/>
      <x:c r="V33" s="3" t="str">
        <x:v>B0_84bacc4c6b66_001896</x:v>
      </x:c>
      <x:c r="W33" s="3" t="str">
        <x:v>109c4911944e8df49081229e372aefb2570622185dcbf7483f140098d6d626dd</x:v>
      </x:c>
    </x:row>
    <x:row r="34" ht="100" customHeight="1">
      <x:c r="A34" s="3" t="str">
        <x:v>V31-208</x:v>
      </x:c>
      <x:c r="B34" s="3" t="str">
        <x:v>否</x:v>
      </x:c>
      <x:c r="C34" s="3" t="str">
        <x:v>XIAOMI Robot Vacuum T12 - Robot Aspirador y friegasuelos con Sistema Inteligente de navegación láser (LDS), succión de 3500Pa, rutas de Limpieza en Zigzag, Negro (Versión ES + 3 años de garantía)</x:v>
      </x:c>
      <x:c r="D34" s="3" t="str">
        <x:v>观察</x:v>
      </x:c>
      <x:c r="E34" s="3" t="str">
        <x:v>观察</x:v>
      </x:c>
      <x:c r="F34" s="3" t="str">
        <x:v>激光导航吸拖机器人主体明确，不能当玩具；普通吸尘器只覆盖部分需求，机器人经营范围待确认。</x:v>
      </x:c>
      <x:c r="G34" s="3" t="str">
        <x:v>待确认：OPERATING_SCOPE_UNCONFIRMED</x:v>
      </x:c>
      <x:c r="H34" s="3" t="str">
        <x:v>否</x:v>
      </x:c>
      <x:c r="I34" s="3" t="str">
        <x:v>激光导航扫拖机器人</x:v>
      </x:c>
      <x:c r="J34" s="3" t="str">
        <x:v>3005298</x:v>
      </x:c>
      <x:c r="K34" s="3" t="str">
        <x:v>Aspirador de escoba Sauber</x:v>
      </x:c>
      <x:c r="L34" s="3" t="str">
        <x:v>specific_need</x:v>
      </x:c>
      <x:c r="M34" s="3" t="str">
        <x:v>partial</x:v>
      </x:c>
      <x:c r="N34" s="3" t="str">
        <x:v>激光导航扫拖机器人</x:v>
      </x:c>
      <x:c r="O34" s="3" t="str">
        <x:v>3005298</x:v>
      </x:c>
      <x:c r="P34" s="3" t="str">
        <x:v>Aspirador de escoba Sauber</x:v>
      </x:c>
      <x:c r="Q34" s="3" t="str">
        <x:v>specific_need</x:v>
      </x:c>
      <x:c r="R34" s="3" t="str">
        <x:v>partial</x:v>
      </x:c>
      <x:c r="S34" s="11"/>
      <x:c r="T34" s="11"/>
      <x:c r="U34" s="11"/>
      <x:c r="V34" s="3" t="str">
        <x:v>B0_84bacc4c6b66_022328</x:v>
      </x:c>
      <x:c r="W34" s="3" t="str">
        <x:v>11ebbeccef133ae2296ac48dd390699e83addb9952ebc0501a07b64cbb4cdfe9</x:v>
      </x:c>
    </x:row>
    <x:row r="35" ht="100" customHeight="1">
      <x:c r="A35" s="3" t="str">
        <x:v>V31-218</x:v>
      </x:c>
      <x:c r="B35" s="3" t="str">
        <x:v>否</x:v>
      </x:c>
      <x:c r="C35" s="3" t="str">
        <x:v>ErGear Escritorio Elevable Eléctrico, 100x60cm, Marrón</x:v>
      </x:c>
      <x:c r="D35" s="3" t="str">
        <x:v>观察</x:v>
      </x:c>
      <x:c r="E35" s="3" t="str">
        <x:v>观察</x:v>
      </x:c>
      <x:c r="F35" s="3" t="str">
        <x:v>100×60厘米电动升降完整书桌，不是桌面收纳配件；遵守完整家具先研究的既有方向，继续观察。</x:v>
      </x:c>
      <x:c r="G35" s="3" t="str">
        <x:v>待确认：OPERATING_SCOPE_UNCONFIRMED</x:v>
      </x:c>
      <x:c r="H35" s="3" t="str">
        <x:v>否</x:v>
      </x:c>
      <x:c r="I35" s="3" t="str">
        <x:v>电动升降书桌</x:v>
      </x:c>
      <x:c r="J35" s="3" t="str"/>
      <x:c r="K35" s="3" t="str"/>
      <x:c r="L35" s="3" t="str">
        <x:v>none</x:v>
      </x:c>
      <x:c r="M35" s="3" t="str">
        <x:v>unknown</x:v>
      </x:c>
      <x:c r="N35" s="3" t="str">
        <x:v>电动升降书桌</x:v>
      </x:c>
      <x:c r="O35" s="3" t="str"/>
      <x:c r="P35" s="3" t="str"/>
      <x:c r="Q35" s="3" t="str">
        <x:v>none</x:v>
      </x:c>
      <x:c r="R35" s="3" t="str">
        <x:v>unknown</x:v>
      </x:c>
      <x:c r="S35" s="11"/>
      <x:c r="T35" s="11"/>
      <x:c r="U35" s="11"/>
      <x:c r="V35" s="3" t="str">
        <x:v>B0_84bacc4c6b66_007031</x:v>
      </x:c>
      <x:c r="W35" s="3" t="str">
        <x:v>3fcc9f07e451919c3e58dbadb46e350898768cfc0b314c51d32f303464dd0132</x:v>
      </x:c>
    </x:row>
    <x:row r="36" ht="100" customHeight="1">
      <x:c r="A36" s="3" t="str">
        <x:v>V31-233</x:v>
      </x:c>
      <x:c r="B36" s="3" t="str">
        <x:v>否</x:v>
      </x:c>
      <x:c r="C36" s="3" t="str">
        <x:v>DeTec. Aspirador industrial 3000 W Aspirador húmedo y seco 100 L Depósito</x:v>
      </x:c>
      <x:c r="D36" s="3" t="str">
        <x:v>观察</x:v>
      </x:c>
      <x:c r="E36" s="3" t="str">
        <x:v>观察</x:v>
      </x:c>
      <x:c r="F36" s="3" t="str">
        <x:v>明确工业湿干吸尘器且100升3000W；Action湿干吸尘器只支持功能相近，不能证明工业规模在经营范围内，继续观察。</x:v>
      </x:c>
      <x:c r="G36" s="3" t="str">
        <x:v>待确认：OPERATING_SCOPE_UNCONFIRMED</x:v>
      </x:c>
      <x:c r="H36" s="3" t="str">
        <x:v>否</x:v>
      </x:c>
      <x:c r="I36" s="3" t="str">
        <x:v>100升工业干湿吸尘机</x:v>
      </x:c>
      <x:c r="J36" s="3" t="str">
        <x:v>3009191</x:v>
      </x:c>
      <x:c r="K36" s="3" t="str">
        <x:v>Aspiradora para húmedo y seco Kärcher KWD1</x:v>
      </x:c>
      <x:c r="L36" s="3" t="str">
        <x:v>related_type</x:v>
      </x:c>
      <x:c r="M36" s="3" t="str">
        <x:v>subject</x:v>
      </x:c>
      <x:c r="N36" s="3" t="str">
        <x:v>100升工业干湿吸尘机</x:v>
      </x:c>
      <x:c r="O36" s="3" t="str">
        <x:v>3009191</x:v>
      </x:c>
      <x:c r="P36" s="3" t="str">
        <x:v>Aspiradora para húmedo y seco Kärcher KWD1</x:v>
      </x:c>
      <x:c r="Q36" s="3" t="str">
        <x:v>related_type</x:v>
      </x:c>
      <x:c r="R36" s="3" t="str">
        <x:v>subject</x:v>
      </x:c>
      <x:c r="S36" s="11"/>
      <x:c r="T36" s="11"/>
      <x:c r="U36" s="11"/>
      <x:c r="V36" s="3" t="str">
        <x:v>B0_84bacc4c6b66_005848</x:v>
      </x:c>
      <x:c r="W36" s="3" t="str">
        <x:v>3cb66b724252fe282b7b153c364a141f8814e6287162a116525e541e72d961ed</x:v>
      </x:c>
    </x:row>
    <x:row r="37" ht="100" customHeight="1">
      <x:c r="A37" s="3" t="str">
        <x:v>V31-280</x:v>
      </x:c>
      <x:c r="B37" s="3" t="str">
        <x:v>否</x:v>
      </x:c>
      <x:c r="C37" s="3" t="str">
        <x:v>Fafeicy Armario de Secado para Pintura en Spray, Calor 60°C (Enchufe de | Cabina de Secado de Pintura, Construcción ABS, Acabado de Modelos Hobby, Bandejas y Rejillas Extraíbles</x:v>
      </x:c>
      <x:c r="D37" s="3" t="str">
        <x:v>观察</x:v>
      </x:c>
      <x:c r="E37" s="3" t="str">
        <x:v>观察</x:v>
      </x:c>
      <x:c r="F37" s="3" t="str">
        <x:v>主体是模型喷漆用60℃干燥柜，不是衣柜，也不能仅因Armario判大型家具；模型设备经营范围及供电适配待确认。</x:v>
      </x:c>
      <x:c r="G37" s="3" t="str">
        <x:v>待确认：OPERATING_SCOPE_UNCONFIRMED</x:v>
      </x:c>
      <x:c r="H37" s="3" t="str">
        <x:v>否</x:v>
      </x:c>
      <x:c r="I37" s="3" t="str">
        <x:v>模型喷漆烘干柜</x:v>
      </x:c>
      <x:c r="J37" s="3" t="str"/>
      <x:c r="K37" s="3" t="str"/>
      <x:c r="L37" s="3" t="str">
        <x:v>none</x:v>
      </x:c>
      <x:c r="M37" s="3" t="str">
        <x:v>unknown</x:v>
      </x:c>
      <x:c r="N37" s="3" t="str">
        <x:v>模型喷漆烘干柜</x:v>
      </x:c>
      <x:c r="O37" s="3" t="str"/>
      <x:c r="P37" s="3" t="str"/>
      <x:c r="Q37" s="3" t="str">
        <x:v>none</x:v>
      </x:c>
      <x:c r="R37" s="3" t="str">
        <x:v>unknown</x:v>
      </x:c>
      <x:c r="S37" s="11"/>
      <x:c r="T37" s="11"/>
      <x:c r="U37" s="11"/>
      <x:c r="V37" s="3" t="str">
        <x:v>B0_84bacc4c6b66_007648</x:v>
      </x:c>
      <x:c r="W37" s="3" t="str">
        <x:v>9027dea37ebe86c488c5d1df325aee81d18eabccb00a93e8426c948b5f8690b2</x:v>
      </x:c>
    </x:row>
    <x:row r="38" ht="100" customHeight="1">
      <x:c r="A38" s="3" t="str">
        <x:v>V31-003</x:v>
      </x:c>
      <x:c r="B38" s="3" t="str">
        <x:v>否</x:v>
      </x:c>
      <x:c r="C38" s="3" t="str">
        <x:v>DEPAR Accesorios Piezas de repuesto compatibles con la aspiradora für Roborock S7/S7 Plus/T7S Plus - 2 cepillos principales, 4 cepillos laterales, 4 paños de fregona, 2 filtros Hepa</x:v>
      </x:c>
      <x:c r="D38" s="3" t="str">
        <x:v>观察</x:v>
      </x:c>
      <x:c r="E38" s="3" t="str">
        <x:v>观察</x:v>
      </x:c>
      <x:c r="F38" s="3" t="str">
        <x:v>销售主体为适配机器人吸尘器的刷头、拖布与滤芯套装，非机器人整机；型号适配及配件经营范围待确认。</x:v>
      </x:c>
      <x:c r="G38" s="3" t="str">
        <x:v>待确认：DEPENDENCY_SCOPE_UNCONFIRMED</x:v>
      </x:c>
      <x:c r="H38" s="3" t="str">
        <x:v>否</x:v>
      </x:c>
      <x:c r="I38" s="3" t="str">
        <x:v>扫地机替换刷布滤芯套装</x:v>
      </x:c>
      <x:c r="J38" s="3" t="str"/>
      <x:c r="K38" s="3" t="str"/>
      <x:c r="L38" s="3" t="str">
        <x:v>none</x:v>
      </x:c>
      <x:c r="M38" s="3" t="str">
        <x:v>unknown</x:v>
      </x:c>
      <x:c r="N38" s="3" t="str">
        <x:v>扫地机替换刷布滤芯套装</x:v>
      </x:c>
      <x:c r="O38" s="3" t="str"/>
      <x:c r="P38" s="3" t="str"/>
      <x:c r="Q38" s="3" t="str">
        <x:v>none</x:v>
      </x:c>
      <x:c r="R38" s="3" t="str">
        <x:v>unknown</x:v>
      </x:c>
      <x:c r="S38" s="11"/>
      <x:c r="T38" s="11"/>
      <x:c r="U38" s="11"/>
      <x:c r="V38" s="3" t="str">
        <x:v>B0_84bacc4c6b66_005519</x:v>
      </x:c>
      <x:c r="W38" s="3" t="str">
        <x:v>424e9dc1e74e6feaa441b01820130564440badc17baa7e920ff8e3b879d1665f</x:v>
      </x:c>
    </x:row>
    <x:row r="39" ht="100" customHeight="1">
      <x:c r="A39" s="3" t="str">
        <x:v>V31-038</x:v>
      </x:c>
      <x:c r="B39" s="3" t="str">
        <x:v>否</x:v>
      </x:c>
      <x:c r="C39" s="3" t="str">
        <x:v>Accesorios Tubo Flexible Tubo Manguera 1,8 M, Compatibles Con Resmed, AirMini</x:v>
      </x:c>
      <x:c r="D39" s="3" t="str">
        <x:v>观察</x:v>
      </x:c>
      <x:c r="E39" s="3" t="str">
        <x:v>观察</x:v>
      </x:c>
      <x:c r="F39" s="3" t="str">
        <x:v>销售主体为兼容Resmed AirMini的软管，非宿主机器；不由型号推断医疗性能，适配与经营范围待确认。</x:v>
      </x:c>
      <x:c r="G39" s="3" t="str">
        <x:v>待确认：DEPENDENCY_SCOPE_UNCONFIRMED</x:v>
      </x:c>
      <x:c r="H39" s="3" t="str">
        <x:v>否</x:v>
      </x:c>
      <x:c r="I39" s="3" t="str">
        <x:v>Resmed AirMini兼容软管</x:v>
      </x:c>
      <x:c r="J39" s="3" t="str"/>
      <x:c r="K39" s="3" t="str"/>
      <x:c r="L39" s="3" t="str">
        <x:v>none</x:v>
      </x:c>
      <x:c r="M39" s="3" t="str">
        <x:v>unknown</x:v>
      </x:c>
      <x:c r="N39" s="3" t="str">
        <x:v>Resmed AirMini兼容软管</x:v>
      </x:c>
      <x:c r="O39" s="3" t="str"/>
      <x:c r="P39" s="3" t="str"/>
      <x:c r="Q39" s="3" t="str">
        <x:v>none</x:v>
      </x:c>
      <x:c r="R39" s="3" t="str">
        <x:v>unknown</x:v>
      </x:c>
      <x:c r="S39" s="11"/>
      <x:c r="T39" s="11"/>
      <x:c r="U39" s="11"/>
      <x:c r="V39" s="3" t="str">
        <x:v>B0_84bacc4c6b66_000674</x:v>
      </x:c>
      <x:c r="W39" s="3" t="str">
        <x:v>c741469ba51ab67c9f1a4f03676f6bb9aac83ce915bb76bb09692e842b45da56</x:v>
      </x:c>
    </x:row>
    <x:row r="40" ht="100" customHeight="1">
      <x:c r="A40" s="3" t="str">
        <x:v>V31-056</x:v>
      </x:c>
      <x:c r="B40" s="3" t="str">
        <x:v>否</x:v>
      </x:c>
      <x:c r="C40" s="3" t="str">
        <x:v>Valvula Extraplana para Plato de Ducha Sifonica y No Sifonica con Cesta Extraible Compatible con Rejilla Metalica 48 l min FLUVIA</x:v>
      </x:c>
      <x:c r="D40" s="3" t="str">
        <x:v>观察</x:v>
      </x:c>
      <x:c r="E40" s="3" t="str">
        <x:v>观察</x:v>
      </x:c>
      <x:c r="F40" s="3" t="str">
        <x:v>销售主体为淋浴底盘排水阀，格栅和篮子是兼容或组件语境；不是淋浴整机，安装适配待确认。</x:v>
      </x:c>
      <x:c r="G40" s="3" t="str">
        <x:v>待确认：DEPENDENCY_SCOPE_UNCONFIRMED</x:v>
      </x:c>
      <x:c r="H40" s="3" t="str">
        <x:v>否</x:v>
      </x:c>
      <x:c r="I40" s="3" t="str">
        <x:v>淋浴底盘排水阀组件</x:v>
      </x:c>
      <x:c r="J40" s="3" t="str"/>
      <x:c r="K40" s="3" t="str"/>
      <x:c r="L40" s="3" t="str">
        <x:v>none</x:v>
      </x:c>
      <x:c r="M40" s="3" t="str">
        <x:v>unknown</x:v>
      </x:c>
      <x:c r="N40" s="3" t="str">
        <x:v>淋浴底盘排水阀组件</x:v>
      </x:c>
      <x:c r="O40" s="3" t="str"/>
      <x:c r="P40" s="3" t="str"/>
      <x:c r="Q40" s="3" t="str">
        <x:v>none</x:v>
      </x:c>
      <x:c r="R40" s="3" t="str">
        <x:v>unknown</x:v>
      </x:c>
      <x:c r="S40" s="11"/>
      <x:c r="T40" s="11"/>
      <x:c r="U40" s="11"/>
      <x:c r="V40" s="3" t="str">
        <x:v>B0_84bacc4c6b66_007384</x:v>
      </x:c>
      <x:c r="W40" s="3" t="str">
        <x:v>c6b5f05edc2d234ece4ecfe79f7818da675997796a3569a170df5b3f00eacf1a</x:v>
      </x:c>
    </x:row>
    <x:row r="41" ht="100" customHeight="1">
      <x:c r="A41" s="3" t="str">
        <x:v>V31-197</x:v>
      </x:c>
      <x:c r="B41" s="3" t="str">
        <x:v>否</x:v>
      </x:c>
      <x:c r="C41" s="3" t="str">
        <x:v>ALLECIN 10 Piezas Fusible Térmico 121 Grados 10A 250V AEC121E 121℃ Fusibles Térmicos de Corte</x:v>
      </x:c>
      <x:c r="D41" s="3" t="str">
        <x:v>观察</x:v>
      </x:c>
      <x:c r="E41" s="3" t="str">
        <x:v>观察</x:v>
      </x:c>
      <x:c r="F41" s="3" t="str">
        <x:v>主体为121℃热熔断器，不能把térmico泛化成取暖商品；电路安装及认证适配待确认。</x:v>
      </x:c>
      <x:c r="G41" s="3" t="str">
        <x:v>待确认：DEPENDENCY_SCOPE_UNCONFIRMED</x:v>
      </x:c>
      <x:c r="H41" s="3" t="str">
        <x:v>否</x:v>
      </x:c>
      <x:c r="I41" s="3" t="str">
        <x:v>温度熔断保险丝</x:v>
      </x:c>
      <x:c r="J41" s="3" t="str"/>
      <x:c r="K41" s="3" t="str"/>
      <x:c r="L41" s="3" t="str">
        <x:v>none</x:v>
      </x:c>
      <x:c r="M41" s="3" t="str">
        <x:v>unknown</x:v>
      </x:c>
      <x:c r="N41" s="3" t="str">
        <x:v>温度熔断保险丝</x:v>
      </x:c>
      <x:c r="O41" s="3" t="str"/>
      <x:c r="P41" s="3" t="str"/>
      <x:c r="Q41" s="3" t="str">
        <x:v>none</x:v>
      </x:c>
      <x:c r="R41" s="3" t="str">
        <x:v>unknown</x:v>
      </x:c>
      <x:c r="S41" s="11"/>
      <x:c r="T41" s="11"/>
      <x:c r="U41" s="11"/>
      <x:c r="V41" s="3" t="str">
        <x:v>B0_84bacc4c6b66_000339</x:v>
      </x:c>
      <x:c r="W41" s="3" t="str">
        <x:v>25e02b4b1aca35913b49619e0a6ae51eb501376e96b30ef3e39e30a96b53d3f0</x:v>
      </x:c>
    </x:row>
    <x:row r="42" ht="100" customHeight="1">
      <x:c r="A42" s="3" t="str">
        <x:v>V31-203</x:v>
      </x:c>
      <x:c r="B42" s="3" t="str">
        <x:v>否</x:v>
      </x:c>
      <x:c r="C42" s="3" t="str">
        <x:v>Soporte de carga de repuesto para robot aspirador Roborock S5 S50 S51 S52 S55 S5 MAX S6 S6MaxV S7 y Xiaomi Mi, pieza de repuesto para robot aspirador</x:v>
      </x:c>
      <x:c r="D42" s="3" t="str">
        <x:v>观察</x:v>
      </x:c>
      <x:c r="E42" s="3" t="str">
        <x:v>观察</x:v>
      </x:c>
      <x:c r="F42" s="3" t="str">
        <x:v>主体为特定机器人吸尘器替换充电座，非机器人或通用手机支架；继续保留适配待确认。</x:v>
      </x:c>
      <x:c r="G42" s="3" t="str">
        <x:v>待确认：DEPENDENCY_SCOPE_UNCONFIRMED</x:v>
      </x:c>
      <x:c r="H42" s="3" t="str">
        <x:v>否</x:v>
      </x:c>
      <x:c r="I42" s="3" t="str">
        <x:v>扫地机器人替换充电座</x:v>
      </x:c>
      <x:c r="J42" s="3" t="str"/>
      <x:c r="K42" s="3" t="str"/>
      <x:c r="L42" s="3" t="str">
        <x:v>none</x:v>
      </x:c>
      <x:c r="M42" s="3" t="str">
        <x:v>unknown</x:v>
      </x:c>
      <x:c r="N42" s="3" t="str">
        <x:v>扫地机器人替换充电座</x:v>
      </x:c>
      <x:c r="O42" s="3" t="str"/>
      <x:c r="P42" s="3" t="str"/>
      <x:c r="Q42" s="3" t="str">
        <x:v>none</x:v>
      </x:c>
      <x:c r="R42" s="3" t="str">
        <x:v>unknown</x:v>
      </x:c>
      <x:c r="S42" s="11"/>
      <x:c r="T42" s="11"/>
      <x:c r="U42" s="11"/>
      <x:c r="V42" s="3" t="str">
        <x:v>B0_84bacc4c6b66_018941</x:v>
      </x:c>
      <x:c r="W42" s="3" t="str">
        <x:v>4ea4d159f63926f0809490513d158e57a6d4f64f952abf285336b142319bb90b</x:v>
      </x:c>
    </x:row>
    <x:row r="43" ht="100" customHeight="1">
      <x:c r="A43" s="3" t="str">
        <x:v>V31-204</x:v>
      </x:c>
      <x:c r="B43" s="3" t="str">
        <x:v>否</x:v>
      </x:c>
      <x:c r="C43" s="3" t="str">
        <x:v>Kaiyaner 12 Bolsas Aspiradora para Xiaomi X10+ / X20+ / Dreame L10s / L10 / L20 / X40 Ultra Robot Aspirador, Bolsa de Repuesto, Juego de Accesorios, 2,5 L de Gran Bolsas de Aspiradora</x:v>
      </x:c>
      <x:c r="D43" s="3" t="str">
        <x:v>观察</x:v>
      </x:c>
      <x:c r="E43" s="3" t="str">
        <x:v>观察</x:v>
      </x:c>
      <x:c r="F43" s="3" t="str">
        <x:v>主体为指定型号机器人吸尘器集尘袋，不是普通收纳袋；适配依赖未确认，维持观察。</x:v>
      </x:c>
      <x:c r="G43" s="3" t="str">
        <x:v>待确认：DEPENDENCY_SCOPE_UNCONFIRMED</x:v>
      </x:c>
      <x:c r="H43" s="3" t="str">
        <x:v>否</x:v>
      </x:c>
      <x:c r="I43" s="3" t="str">
        <x:v>扫地机器人替换尘袋</x:v>
      </x:c>
      <x:c r="J43" s="3" t="str"/>
      <x:c r="K43" s="3" t="str"/>
      <x:c r="L43" s="3" t="str">
        <x:v>none</x:v>
      </x:c>
      <x:c r="M43" s="3" t="str">
        <x:v>unknown</x:v>
      </x:c>
      <x:c r="N43" s="3" t="str">
        <x:v>扫地机器人替换尘袋</x:v>
      </x:c>
      <x:c r="O43" s="3" t="str"/>
      <x:c r="P43" s="3" t="str"/>
      <x:c r="Q43" s="3" t="str">
        <x:v>none</x:v>
      </x:c>
      <x:c r="R43" s="3" t="str">
        <x:v>unknown</x:v>
      </x:c>
      <x:c r="S43" s="11"/>
      <x:c r="T43" s="11"/>
      <x:c r="U43" s="11"/>
      <x:c r="V43" s="3" t="str">
        <x:v>B0_84bacc4c6b66_011272</x:v>
      </x:c>
      <x:c r="W43" s="3" t="str">
        <x:v>7b59ec5a31bb03c1e6a0be211ddce49efe8f98b5bba7828c38d9f26a7cc81608</x:v>
      </x:c>
    </x:row>
    <x:row r="44" ht="100" customHeight="1">
      <x:c r="A44" s="3" t="str">
        <x:v>V31-210</x:v>
      </x:c>
      <x:c r="B44" s="3" t="str">
        <x:v>否</x:v>
      </x:c>
      <x:c r="C44" s="3" t="str">
        <x:v>2 Vaciadores Doble Punta para Retorneado de Cerámica en Acero al Carbono | Tres Filos Afilados | Alisado de Acabados | Mango Ergonómico | Torno de Alfarero | Válido en Gres, Porcelana, Terracota</x:v>
      </x:c>
      <x:c r="D44" s="3" t="str">
        <x:v>保留</x:v>
      </x:c>
      <x:c r="E44" s="3" t="str">
        <x:v>保留</x:v>
      </x:c>
      <x:c r="F44" s="3" t="str">
        <x:v>Vaciadores、Doble Punta、Mango共同支持手工陶艺修坯工具；Torno是使用语境而非售卖电动整机。与黏土工具套组为相关类型，保留但不证明刀刃形状相同。</x:v>
      </x:c>
      <x:c r="G44" s="3" t="str">
        <x:v>候选保留，待人工确认</x:v>
      </x:c>
      <x:c r="H44" s="3" t="str">
        <x:v>否</x:v>
      </x:c>
      <x:c r="I44" s="3" t="str">
        <x:v>陶艺双头修坯刀</x:v>
      </x:c>
      <x:c r="J44" s="3" t="str">
        <x:v>3220664</x:v>
      </x:c>
      <x:c r="K44" s="3" t="str">
        <x:v>Kit de herramientas de arcilla</x:v>
      </x:c>
      <x:c r="L44" s="3" t="str">
        <x:v>related_type</x:v>
      </x:c>
      <x:c r="M44" s="3" t="str">
        <x:v>subject</x:v>
      </x:c>
      <x:c r="N44" s="3" t="str">
        <x:v>陶艺双头修坯刀</x:v>
      </x:c>
      <x:c r="O44" s="3" t="str">
        <x:v>3220664</x:v>
      </x:c>
      <x:c r="P44" s="3" t="str">
        <x:v>Kit de herramientas de arcilla</x:v>
      </x:c>
      <x:c r="Q44" s="3" t="str">
        <x:v>related_type</x:v>
      </x:c>
      <x:c r="R44" s="3" t="str">
        <x:v>subject</x:v>
      </x:c>
      <x:c r="S44" s="11"/>
      <x:c r="T44" s="11"/>
      <x:c r="U44" s="11"/>
      <x:c r="V44" s="3" t="str">
        <x:v>B0_84bacc4c6b66_021150</x:v>
      </x:c>
      <x:c r="W44" s="3" t="str">
        <x:v>45aa6c7923545eaf59e83a5c31438793a46963df1248b224e18826f3be21f1d0</x:v>
      </x:c>
    </x:row>
    <x:row r="45" ht="100" customHeight="1">
      <x:c r="A45" s="3" t="str">
        <x:v>V31-225</x:v>
      </x:c>
      <x:c r="B45" s="3" t="str">
        <x:v>否</x:v>
      </x:c>
      <x:c r="C45" s="3" t="str">
        <x:v>Funda para Aire Acondicionado, Cubierta de Aire Acondicionado Impermeable Anti-Polvo Protector Solar Cubierta de Aire Acondicionado Protectores (80 * 28 * 54cm)</x:v>
      </x:c>
      <x:c r="D45" s="3" t="str">
        <x:v>观察</x:v>
      </x:c>
      <x:c r="E45" s="3" t="str">
        <x:v>观察</x:v>
      </x:c>
      <x:c r="F45" s="3" t="str">
        <x:v>主体是空调防尘罩；空调本体只能作宿主参照，不能作为罩子的同类证据，维持观察。</x:v>
      </x:c>
      <x:c r="G45" s="3" t="str">
        <x:v>待确认：DEPENDENCY_SCOPE_UNCONFIRMED</x:v>
      </x:c>
      <x:c r="H45" s="3" t="str">
        <x:v>否</x:v>
      </x:c>
      <x:c r="I45" s="3" t="str">
        <x:v>空调防尘罩</x:v>
      </x:c>
      <x:c r="J45" s="3" t="str">
        <x:v>3004974</x:v>
      </x:c>
      <x:c r="K45" s="3" t="str">
        <x:v>Aire acondicionado Kinzo</x:v>
      </x:c>
      <x:c r="L45" s="3" t="str">
        <x:v>host_only</x:v>
      </x:c>
      <x:c r="M45" s="3" t="str">
        <x:v>partial</x:v>
      </x:c>
      <x:c r="N45" s="3" t="str">
        <x:v>空调防尘罩</x:v>
      </x:c>
      <x:c r="O45" s="3" t="str">
        <x:v>3004974</x:v>
      </x:c>
      <x:c r="P45" s="3" t="str">
        <x:v>Aire acondicionado Kinzo</x:v>
      </x:c>
      <x:c r="Q45" s="3" t="str">
        <x:v>host_only</x:v>
      </x:c>
      <x:c r="R45" s="3" t="str">
        <x:v>partial</x:v>
      </x:c>
      <x:c r="S45" s="11"/>
      <x:c r="T45" s="11"/>
      <x:c r="U45" s="11"/>
      <x:c r="V45" s="3" t="str">
        <x:v>B0_84bacc4c6b66_000728</x:v>
      </x:c>
      <x:c r="W45" s="3" t="str">
        <x:v>2d8f1e4db25fee7bb866d13fa1205b8c91648a75da52598f8a0fa58234c5c9e2</x:v>
      </x:c>
    </x:row>
    <x:row r="46" ht="100" customHeight="1">
      <x:c r="A46" s="3" t="str">
        <x:v>V31-250</x:v>
      </x:c>
      <x:c r="B46" s="3" t="str">
        <x:v>否</x:v>
      </x:c>
      <x:c r="C46" s="3" t="str">
        <x:v>MenYiYDS 30 Piezas Soporte para Estantes Autoperforantes, Puntas de Soporte en Metal Niquelado con Transparente Estuche Protector para Muebles, Armarios, Librerías y Almacenamiento</x:v>
      </x:c>
      <x:c r="D46" s="3" t="str">
        <x:v>观察</x:v>
      </x:c>
      <x:c r="E46" s="3" t="str">
        <x:v>观察</x:v>
      </x:c>
      <x:c r="F46" s="3" t="str">
        <x:v>主体为自穿式层板支撑销，Action只写层板支架；不能证明销式固定结构及适配，维持覆盖未知。</x:v>
      </x:c>
      <x:c r="G46" s="3" t="str">
        <x:v>待确认：REFERENCE_NOT_SUFFICIENT</x:v>
      </x:c>
      <x:c r="H46" s="3" t="str">
        <x:v>否</x:v>
      </x:c>
      <x:c r="I46" s="3" t="str">
        <x:v>层板支撑销</x:v>
      </x:c>
      <x:c r="J46" s="3" t="str">
        <x:v>3005729</x:v>
      </x:c>
      <x:c r="K46" s="3" t="str">
        <x:v>Soportes para estantes</x:v>
      </x:c>
      <x:c r="L46" s="3" t="str">
        <x:v>related_type</x:v>
      </x:c>
      <x:c r="M46" s="3" t="str">
        <x:v>unknown</x:v>
      </x:c>
      <x:c r="N46" s="3" t="str">
        <x:v>层板支撑销</x:v>
      </x:c>
      <x:c r="O46" s="3" t="str">
        <x:v>3005729</x:v>
      </x:c>
      <x:c r="P46" s="3" t="str">
        <x:v>Soportes para estantes</x:v>
      </x:c>
      <x:c r="Q46" s="3" t="str">
        <x:v>related_type</x:v>
      </x:c>
      <x:c r="R46" s="3" t="str">
        <x:v>unknown</x:v>
      </x:c>
      <x:c r="S46" s="11"/>
      <x:c r="T46" s="11"/>
      <x:c r="U46" s="11"/>
      <x:c r="V46" s="3" t="str">
        <x:v>B0_84bacc4c6b66_013340</x:v>
      </x:c>
      <x:c r="W46" s="3" t="str">
        <x:v>4d9ad75b396058a855deb9539382ab7bd199ba50d9cae93504454c33d2b31278</x:v>
      </x:c>
    </x:row>
    <x:row r="47" ht="100" customHeight="1">
      <x:c r="A47" s="3" t="str">
        <x:v>V31-276</x:v>
      </x:c>
      <x:c r="B47" s="3" t="str">
        <x:v>否</x:v>
      </x:c>
      <x:c r="C47" s="3" t="str">
        <x:v>JZK 3 Vías Válvula desviadora de brazo de ducha 1/2 pulgadas, divisor cabezal ducha latón 3 vías, válvula desviadora ducha metal G1/2 con arandelas de goma, desviador de flujo adaptador de ducha</x:v>
      </x:c>
      <x:c r="D47" s="3" t="str">
        <x:v>观察</x:v>
      </x:c>
      <x:c r="E47" s="3" t="str">
        <x:v>观察</x:v>
      </x:c>
      <x:c r="F47" s="3" t="str">
        <x:v>主体是淋浴三通分水阀而非花洒本体；G1/2和适配关系只保留原题声称，安装范围未确认。</x:v>
      </x:c>
      <x:c r="G47" s="3" t="str">
        <x:v>待确认：DEPENDENCY_SCOPE_UNCONFIRMED</x:v>
      </x:c>
      <x:c r="H47" s="3" t="str">
        <x:v>否</x:v>
      </x:c>
      <x:c r="I47" s="3" t="str">
        <x:v>淋浴三通分水阀</x:v>
      </x:c>
      <x:c r="J47" s="3" t="str"/>
      <x:c r="K47" s="3" t="str"/>
      <x:c r="L47" s="3" t="str">
        <x:v>none</x:v>
      </x:c>
      <x:c r="M47" s="3" t="str">
        <x:v>unknown</x:v>
      </x:c>
      <x:c r="N47" s="3" t="str">
        <x:v>淋浴三通分水阀</x:v>
      </x:c>
      <x:c r="O47" s="3" t="str"/>
      <x:c r="P47" s="3" t="str"/>
      <x:c r="Q47" s="3" t="str">
        <x:v>none</x:v>
      </x:c>
      <x:c r="R47" s="3" t="str">
        <x:v>unknown</x:v>
      </x:c>
      <x:c r="S47" s="11"/>
      <x:c r="T47" s="11"/>
      <x:c r="U47" s="11"/>
      <x:c r="V47" s="3" t="str">
        <x:v>B0_84bacc4c6b66_010707</x:v>
      </x:c>
      <x:c r="W47" s="3" t="str">
        <x:v>f7a87eb055ae4adaa4a79782301b0fef39b6a7db79ef3ff32ee8ca5a2bd317cf</x:v>
      </x:c>
    </x:row>
    <x:row r="48" ht="100" customHeight="1">
      <x:c r="A48" s="3" t="str">
        <x:v>V31-012</x:v>
      </x:c>
      <x:c r="B48" s="3" t="str">
        <x:v>否</x:v>
      </x:c>
      <x:c r="C48" s="3" t="str">
        <x:v>Amazon Basics Raspador para azulejos y vidrio de 10.16 cm (4 pulgadas) con agarre suave</x:v>
      </x:c>
      <x:c r="D48" s="3" t="str">
        <x:v>保留</x:v>
      </x:c>
      <x:c r="E48" s="3" t="str">
        <x:v>观察</x:v>
      </x:c>
      <x:c r="F48" s="3" t="str">
        <x:v>瓷砖玻璃刮刀与锉刀刮刀套组只有刮削类关联；参照未说明玻璃用途和刀头，原先完整覆盖证据不足，改部分覆盖转观察。</x:v>
      </x:c>
      <x:c r="G48" s="3" t="str">
        <x:v>待确认：REFERENCE_NOT_SUFFICIENT</x:v>
      </x:c>
      <x:c r="H48" s="3" t="str">
        <x:v>是</x:v>
      </x:c>
      <x:c r="I48" s="3" t="str">
        <x:v>瓷砖玻璃刮刀</x:v>
      </x:c>
      <x:c r="J48" s="3" t="str">
        <x:v>3203977</x:v>
      </x:c>
      <x:c r="K48" s="3" t="str">
        <x:v>Juego de limas y raspadores Werckmann</x:v>
      </x:c>
      <x:c r="L48" s="3" t="str">
        <x:v>related_type</x:v>
      </x:c>
      <x:c r="M48" s="3" t="str">
        <x:v>partial</x:v>
      </x:c>
      <x:c r="N48" s="3" t="str">
        <x:v>瓷砖玻璃刮刀</x:v>
      </x:c>
      <x:c r="O48" s="3" t="str">
        <x:v>3203977</x:v>
      </x:c>
      <x:c r="P48" s="3" t="str">
        <x:v>Juego de limas y raspadores Werckmann</x:v>
      </x:c>
      <x:c r="Q48" s="3" t="str">
        <x:v>related_type</x:v>
      </x:c>
      <x:c r="R48" s="3" t="str">
        <x:v>subject</x:v>
      </x:c>
      <x:c r="S48" s="11"/>
      <x:c r="T48" s="11"/>
      <x:c r="U48" s="11"/>
      <x:c r="V48" s="3" t="str">
        <x:v>B0_84bacc4c6b66_001492</x:v>
      </x:c>
      <x:c r="W48" s="3" t="str">
        <x:v>470d39609d1833361ea34248037a6418beadbaa69ff873c32919c639334fe501</x:v>
      </x:c>
    </x:row>
    <x:row r="49" ht="100" customHeight="1">
      <x:c r="A49" s="3" t="str">
        <x:v>V31-019</x:v>
      </x:c>
      <x:c r="B49" s="3" t="str">
        <x:v>否</x:v>
      </x:c>
      <x:c r="C49" s="3" t="str">
        <x:v>TOAOB 50 Piezas Ojos de Seguridad 16 mm Ojos de Plástico de Negro con Arandelas Ojos de Muñecas Amigurumis para Hacer Muñecas Manualidades Tejer Animales Marioneta</x:v>
      </x:c>
      <x:c r="D49" s="3" t="str">
        <x:v>保留</x:v>
      </x:c>
      <x:c r="E49" s="3" t="str">
        <x:v>观察</x:v>
      </x:c>
      <x:c r="F49" s="3" t="str">
        <x:v>带垫片的安全眼是布偶装配件，活动眼睛不等于安全眼；固定方式与使用对象不同，参照只能支持眼部装饰需求，覆盖部分，转观察。</x:v>
      </x:c>
      <x:c r="G49" s="3" t="str">
        <x:v>待确认：REFERENCE_NOT_SUFFICIENT</x:v>
      </x:c>
      <x:c r="H49" s="3" t="str">
        <x:v>是</x:v>
      </x:c>
      <x:c r="I49" s="3" t="str">
        <x:v>带垫圈玩偶安全眼配件</x:v>
      </x:c>
      <x:c r="J49" s="3" t="str">
        <x:v>2543851</x:v>
      </x:c>
      <x:c r="K49" s="3" t="str">
        <x:v>Ojos móviles</x:v>
      </x:c>
      <x:c r="L49" s="3" t="str">
        <x:v>specific_need</x:v>
      </x:c>
      <x:c r="M49" s="3" t="str">
        <x:v>partial</x:v>
      </x:c>
      <x:c r="N49" s="3" t="str">
        <x:v>带垫圈玩偶安全眼配件</x:v>
      </x:c>
      <x:c r="O49" s="3" t="str">
        <x:v>2543851</x:v>
      </x:c>
      <x:c r="P49" s="3" t="str">
        <x:v>Ojos móviles</x:v>
      </x:c>
      <x:c r="Q49" s="3" t="str">
        <x:v>related_type</x:v>
      </x:c>
      <x:c r="R49" s="3" t="str">
        <x:v>subject</x:v>
      </x:c>
      <x:c r="S49" s="11"/>
      <x:c r="T49" s="11"/>
      <x:c r="U49" s="11"/>
      <x:c r="V49" s="3" t="str">
        <x:v>B0_84bacc4c6b66_019392</x:v>
      </x:c>
      <x:c r="W49" s="3" t="str">
        <x:v>edccd7a6418d9570f177e2a1c12ca7f824123f6fa8f4a86cfa122c8abf63b805</x:v>
      </x:c>
    </x:row>
    <x:row r="50" ht="100" customHeight="1">
      <x:c r="A50" s="3" t="str">
        <x:v>V31-083</x:v>
      </x:c>
      <x:c r="B50" s="3" t="str">
        <x:v>否</x:v>
      </x:c>
      <x:c r="C50" s="3" t="str">
        <x:v>Folmywy Kit de jarrón de cerámica japonesa Ikebana con soporte de tallo de flores de rana Kenzan de 1.57 pulgadas, jarrón redondo negro con forma de guijarro para centros de mesa, suministros de arte</x:v>
      </x:c>
      <x:c r="D50" s="3" t="str">
        <x:v>观察</x:v>
      </x:c>
      <x:c r="E50" s="3" t="str">
        <x:v>观察</x:v>
      </x:c>
      <x:c r="F50" s="3" t="str">
        <x:v>所售包括花器与Kenzan插花针座，单独花瓶仅覆盖一部分；继续观察，不删除套装中的针座主体。</x:v>
      </x:c>
      <x:c r="G50" s="3" t="str">
        <x:v>待确认：REFERENCE_NOT_SUFFICIENT</x:v>
      </x:c>
      <x:c r="H50" s="3" t="str">
        <x:v>否</x:v>
      </x:c>
      <x:c r="I50" s="3" t="str">
        <x:v>花瓶与剑山插花套装</x:v>
      </x:c>
      <x:c r="J50" s="3" t="str">
        <x:v>3217195</x:v>
      </x:c>
      <x:c r="K50" s="3" t="str">
        <x:v>Jarrón</x:v>
      </x:c>
      <x:c r="L50" s="3" t="str">
        <x:v>related_type</x:v>
      </x:c>
      <x:c r="M50" s="3" t="str">
        <x:v>partial</x:v>
      </x:c>
      <x:c r="N50" s="3" t="str">
        <x:v>花瓶与剑山插花套装</x:v>
      </x:c>
      <x:c r="O50" s="3" t="str">
        <x:v>3217195</x:v>
      </x:c>
      <x:c r="P50" s="3" t="str">
        <x:v>Jarrón</x:v>
      </x:c>
      <x:c r="Q50" s="3" t="str">
        <x:v>related_type</x:v>
      </x:c>
      <x:c r="R50" s="3" t="str">
        <x:v>partial</x:v>
      </x:c>
      <x:c r="S50" s="11"/>
      <x:c r="T50" s="11"/>
      <x:c r="U50" s="11"/>
      <x:c r="V50" s="3" t="str">
        <x:v>B0_84bacc4c6b66_007927</x:v>
      </x:c>
      <x:c r="W50" s="3" t="str">
        <x:v>d8217d12d7c416390511e036101581ba8ee475282be88a572af3c7fa816e6b4c</x:v>
      </x:c>
    </x:row>
    <x:row r="51" ht="100" customHeight="1">
      <x:c r="A51" s="3" t="str">
        <x:v>V31-209</x:v>
      </x:c>
      <x:c r="B51" s="3" t="str">
        <x:v>否</x:v>
      </x:c>
      <x:c r="C51" s="3" t="str">
        <x:v>Set De Cerámica para Niños,Set de Cerámica Para El Hogar,versión caracol | Mini Torno de Alfarero Eléctrico,Set de Manualidades Creativas en Cerámicas para Niños a Partir de 6 Años - Naranja</x:v>
      </x:c>
      <x:c r="D51" s="3" t="str">
        <x:v>观察</x:v>
      </x:c>
      <x:c r="E51" s="3" t="str">
        <x:v>观察</x:v>
      </x:c>
      <x:c r="F51" s="3" t="str">
        <x:v>标题明确儿童六岁以上用电动迷你陶轮套装，不应误排为工业陶艺机；泛手工套装不能证明电动陶轮同类，继续观察。</x:v>
      </x:c>
      <x:c r="G51" s="3" t="str">
        <x:v>待确认：REFERENCE_NOT_SUFFICIENT</x:v>
      </x:c>
      <x:c r="H51" s="3" t="str">
        <x:v>否</x:v>
      </x:c>
      <x:c r="I51" s="3" t="str">
        <x:v>儿童电动陶艺套装</x:v>
      </x:c>
      <x:c r="J51" s="3" t="str">
        <x:v>3218830</x:v>
      </x:c>
      <x:c r="K51" s="3" t="str">
        <x:v>Kit de manualidades</x:v>
      </x:c>
      <x:c r="L51" s="3" t="str">
        <x:v>category_only</x:v>
      </x:c>
      <x:c r="M51" s="3" t="str">
        <x:v>unknown</x:v>
      </x:c>
      <x:c r="N51" s="3" t="str">
        <x:v>儿童电动陶艺套装</x:v>
      </x:c>
      <x:c r="O51" s="3" t="str">
        <x:v>3218830</x:v>
      </x:c>
      <x:c r="P51" s="3" t="str">
        <x:v>Kit de manualidades</x:v>
      </x:c>
      <x:c r="Q51" s="3" t="str">
        <x:v>category_only</x:v>
      </x:c>
      <x:c r="R51" s="3" t="str">
        <x:v>unknown</x:v>
      </x:c>
      <x:c r="S51" s="11"/>
      <x:c r="T51" s="11"/>
      <x:c r="U51" s="11"/>
      <x:c r="V51" s="3" t="str">
        <x:v>B0_84bacc4c6b66_004548</x:v>
      </x:c>
      <x:c r="W51" s="3" t="str">
        <x:v>bbe30db68a517257d6089a7ef95b57ee875e64acb27ff56ba0d2dd6c5847a043</x:v>
      </x:c>
    </x:row>
    <x:row r="52" ht="100" customHeight="1">
      <x:c r="A52" s="3" t="str">
        <x:v>V31-222</x:v>
      </x:c>
      <x:c r="B52" s="3" t="str">
        <x:v>否</x:v>
      </x:c>
      <x:c r="C52" s="3" t="str">
        <x:v>Intex, Colchón Hinchable Doble, Prestige Mid-Rise, 152x203 cm, Fiber-Tech, Cómodo y Estable, Superficie Suave y flocada, Hinchador eléctrico Incluido, Cama Inflable, Colchones inflables (64179)</x:v>
      </x:c>
      <x:c r="D52" s="3" t="str">
        <x:v>观察</x:v>
      </x:c>
      <x:c r="E52" s="3" t="str">
        <x:v>观察</x:v>
      </x:c>
      <x:c r="F52" s="3" t="str">
        <x:v>充气双人床垫并含电泵，Action床垫原名未写电泵；按冻结的整套覆盖契约继续观察，不推断充气方式相同。</x:v>
      </x:c>
      <x:c r="G52" s="3" t="str">
        <x:v>待确认：REFERENCE_NOT_SUFFICIENT</x:v>
      </x:c>
      <x:c r="H52" s="3" t="str">
        <x:v>否</x:v>
      </x:c>
      <x:c r="I52" s="3" t="str">
        <x:v>充气床垫与电动泵组</x:v>
      </x:c>
      <x:c r="J52" s="3" t="str">
        <x:v>3016204</x:v>
      </x:c>
      <x:c r="K52" s="3" t="str">
        <x:v>Colchón hinchable</x:v>
      </x:c>
      <x:c r="L52" s="3" t="str">
        <x:v>related_type</x:v>
      </x:c>
      <x:c r="M52" s="3" t="str">
        <x:v>partial</x:v>
      </x:c>
      <x:c r="N52" s="3" t="str">
        <x:v>充气床垫与电动泵组</x:v>
      </x:c>
      <x:c r="O52" s="3" t="str">
        <x:v>3016204</x:v>
      </x:c>
      <x:c r="P52" s="3" t="str">
        <x:v>Colchón hinchable</x:v>
      </x:c>
      <x:c r="Q52" s="3" t="str">
        <x:v>related_type</x:v>
      </x:c>
      <x:c r="R52" s="3" t="str">
        <x:v>partial</x:v>
      </x:c>
      <x:c r="S52" s="11"/>
      <x:c r="T52" s="11"/>
      <x:c r="U52" s="11"/>
      <x:c r="V52" s="3" t="str">
        <x:v>B0_84bacc4c6b66_010433</x:v>
      </x:c>
      <x:c r="W52" s="3" t="str">
        <x:v>19b4eb096a6e9fcd689ec16b8160425995fc2b907dac704595f27573449ed3f1</x:v>
      </x:c>
    </x:row>
    <x:row r="53" ht="100" customHeight="1">
      <x:c r="A53" s="3" t="str">
        <x:v>V31-243</x:v>
      </x:c>
      <x:c r="B53" s="3" t="str">
        <x:v>否</x:v>
      </x:c>
      <x:c r="C53" s="3" t="str">
        <x:v>Ferretelix® Botiquin armario de pared con dotacion 280 mm x 250 mm x 100 mm equipado con varios artículos para realizar las primeras curas en caso de emergencia, Botiquín de primeros auxilios</x:v>
      </x:c>
      <x:c r="D53" s="3" t="str">
        <x:v>观察</x:v>
      </x:c>
      <x:c r="E53" s="3" t="str">
        <x:v>观察</x:v>
      </x:c>
      <x:c r="F53" s="3" t="str">
        <x:v>主体为壁挂带用品急救箱，原题未列用品清单；便携急救包参照不能证明壁挂箱及用品完整对应，维持覆盖未知。</x:v>
      </x:c>
      <x:c r="G53" s="3" t="str">
        <x:v>待确认：REFERENCE_NOT_SUFFICIENT</x:v>
      </x:c>
      <x:c r="H53" s="3" t="str">
        <x:v>否</x:v>
      </x:c>
      <x:c r="I53" s="3" t="str">
        <x:v>壁挂急救箱及用品</x:v>
      </x:c>
      <x:c r="J53" s="3" t="str">
        <x:v>3217034</x:v>
      </x:c>
      <x:c r="K53" s="3" t="str">
        <x:v>Botiquín de primeros auxilios Vitalio</x:v>
      </x:c>
      <x:c r="L53" s="3" t="str">
        <x:v>specific_need</x:v>
      </x:c>
      <x:c r="M53" s="3" t="str">
        <x:v>unknown</x:v>
      </x:c>
      <x:c r="N53" s="3" t="str">
        <x:v>壁挂急救箱及用品</x:v>
      </x:c>
      <x:c r="O53" s="3" t="str">
        <x:v>3217034</x:v>
      </x:c>
      <x:c r="P53" s="3" t="str">
        <x:v>Botiquín de primeros auxilios Vitalio</x:v>
      </x:c>
      <x:c r="Q53" s="3" t="str">
        <x:v>specific_need</x:v>
      </x:c>
      <x:c r="R53" s="3" t="str">
        <x:v>unknown</x:v>
      </x:c>
      <x:c r="S53" s="11"/>
      <x:c r="T53" s="11"/>
      <x:c r="U53" s="11"/>
      <x:c r="V53" s="3" t="str">
        <x:v>B0_84bacc4c6b66_007734</x:v>
      </x:c>
      <x:c r="W53" s="3" t="str">
        <x:v>313714f98bad56be92435342f6883ee3d69bfcf92d72ee2ea16b3ad71ef54010</x:v>
      </x:c>
    </x:row>
    <x:row r="54" ht="100" customHeight="1">
      <x:c r="A54" s="3" t="str">
        <x:v>V31-254</x:v>
      </x:c>
      <x:c r="B54" s="3" t="str">
        <x:v>否</x:v>
      </x:c>
      <x:c r="C54" s="3" t="str">
        <x:v>Meross Detector de Humo y Monóxido de Carbono 2 en 1 con Batería de 10 Años | Alarma Detector de Humo y CO, Autodiagnóstico y Botón de Prueba, Cumple las Normativas EN 14604 y EN 50291, Fácil de Instalar</x:v>
      </x:c>
      <x:c r="D54" s="3" t="str">
        <x:v>观察</x:v>
      </x:c>
      <x:c r="E54" s="3" t="str">
        <x:v>观察</x:v>
      </x:c>
      <x:c r="F54" s="3" t="str">
        <x:v>商品为烟雾及一氧化碳双传感报警器，单烟雾报警器仅覆盖一项功能；EN标准声称不得当作已验认证，继续观察。</x:v>
      </x:c>
      <x:c r="G54" s="3" t="str">
        <x:v>待确认：REFERENCE_NOT_SUFFICIENT</x:v>
      </x:c>
      <x:c r="H54" s="3" t="str">
        <x:v>否</x:v>
      </x:c>
      <x:c r="I54" s="3" t="str">
        <x:v>烟雾一氧化碳二合一报警器</x:v>
      </x:c>
      <x:c r="J54" s="3" t="str">
        <x:v>3005625</x:v>
      </x:c>
      <x:c r="K54" s="3" t="str">
        <x:v>Detector de humo Smartwares</x:v>
      </x:c>
      <x:c r="L54" s="3" t="str">
        <x:v>related_type</x:v>
      </x:c>
      <x:c r="M54" s="3" t="str">
        <x:v>partial</x:v>
      </x:c>
      <x:c r="N54" s="3" t="str">
        <x:v>烟雾一氧化碳二合一报警器</x:v>
      </x:c>
      <x:c r="O54" s="3" t="str">
        <x:v>3005625</x:v>
      </x:c>
      <x:c r="P54" s="3" t="str">
        <x:v>Detector de humo Smartwares</x:v>
      </x:c>
      <x:c r="Q54" s="3" t="str">
        <x:v>related_type</x:v>
      </x:c>
      <x:c r="R54" s="3" t="str">
        <x:v>partial</x:v>
      </x:c>
      <x:c r="S54" s="11"/>
      <x:c r="T54" s="11"/>
      <x:c r="U54" s="11"/>
      <x:c r="V54" s="3" t="str">
        <x:v>B0_84bacc4c6b66_006135</x:v>
      </x:c>
      <x:c r="W54" s="3" t="str">
        <x:v>388d7dbe9c53769090200ea823dbeb5098f461036c61d23bbe60eb195536b7b3</x:v>
      </x:c>
    </x:row>
    <x:row r="55" ht="100" customHeight="1">
      <x:c r="A55" s="3" t="str">
        <x:v>V31-292</x:v>
      </x:c>
      <x:c r="B55" s="3" t="str">
        <x:v>否</x:v>
      </x:c>
      <x:c r="C55" s="3" t="str">
        <x:v>Ninja, Batidora de Vaso 2 en 1, Jarra de 2,1L, 1200W, Negro</x:v>
      </x:c>
      <x:c r="D55" s="3" t="str">
        <x:v>观察</x:v>
      </x:c>
      <x:c r="E55" s="3" t="str">
        <x:v>观察</x:v>
      </x:c>
      <x:c r="F55" s="3" t="str">
        <x:v>商品为2.1升杯式搅拌机而非手持搅拌机，形态不能互换；2 en 1功能也未展开，继续观察，不从型号知识补出附件。</x:v>
      </x:c>
      <x:c r="G55" s="3" t="str">
        <x:v>待确认：REFERENCE_NOT_SUFFICIENT</x:v>
      </x:c>
      <x:c r="H55" s="3" t="str">
        <x:v>否</x:v>
      </x:c>
      <x:c r="I55" s="3" t="str">
        <x:v>台式搅拌机</x:v>
      </x:c>
      <x:c r="J55" s="3" t="str">
        <x:v>3224693</x:v>
      </x:c>
      <x:c r="K55" s="3" t="str">
        <x:v>Batidora de mano MasterChef</x:v>
      </x:c>
      <x:c r="L55" s="3" t="str">
        <x:v>related_type</x:v>
      </x:c>
      <x:c r="M55" s="3" t="str">
        <x:v>unknown</x:v>
      </x:c>
      <x:c r="N55" s="3" t="str">
        <x:v>台式搅拌机</x:v>
      </x:c>
      <x:c r="O55" s="3" t="str">
        <x:v>3224693</x:v>
      </x:c>
      <x:c r="P55" s="3" t="str">
        <x:v>Batidora de mano MasterChef</x:v>
      </x:c>
      <x:c r="Q55" s="3" t="str">
        <x:v>related_type</x:v>
      </x:c>
      <x:c r="R55" s="3" t="str">
        <x:v>unknown</x:v>
      </x:c>
      <x:c r="S55" s="11"/>
      <x:c r="T55" s="11"/>
      <x:c r="U55" s="11"/>
      <x:c r="V55" s="3" t="str">
        <x:v>B0_84bacc4c6b66_014304</x:v>
      </x:c>
      <x:c r="W55" s="3" t="str">
        <x:v>97fd247a4607396bca78d93dde0f738816f9d929d2432d3eb0a40a7b41be67e7</x:v>
      </x:c>
    </x:row>
    <x:row r="56" ht="100" customHeight="1">
      <x:c r="A56" s="3" t="str">
        <x:v>V31-065</x:v>
      </x:c>
      <x:c r="B56" s="3" t="str">
        <x:v>否</x:v>
      </x:c>
      <x:c r="C56" s="3" t="str">
        <x:v>Royal &amp; Langnickel - Playset (COPF12) (versión en inglés)</x:v>
      </x:c>
      <x:c r="D56" s="3" t="str">
        <x:v>观察</x:v>
      </x:c>
      <x:c r="E56" s="3" t="str">
        <x:v>观察</x:v>
      </x:c>
      <x:c r="F56" s="3" t="str">
        <x:v>Playset及型号不能明确套装的实际商品构成；维持信息不足，不按品牌推断颜料套装。</x:v>
      </x:c>
      <x:c r="G56" s="3" t="str">
        <x:v>待确认：INFORMATION_INSUFFICIENT</x:v>
      </x:c>
      <x:c r="H56" s="3" t="str">
        <x:v>否</x:v>
      </x:c>
      <x:c r="I56" s="3" t="str">
        <x:v>未指明内容的套装</x:v>
      </x:c>
      <x:c r="J56" s="3" t="str"/>
      <x:c r="K56" s="3" t="str"/>
      <x:c r="L56" s="3" t="str">
        <x:v>none</x:v>
      </x:c>
      <x:c r="M56" s="3" t="str">
        <x:v>unknown</x:v>
      </x:c>
      <x:c r="N56" s="3" t="str">
        <x:v>未指明内容的套装</x:v>
      </x:c>
      <x:c r="O56" s="3" t="str"/>
      <x:c r="P56" s="3" t="str"/>
      <x:c r="Q56" s="3" t="str">
        <x:v>none</x:v>
      </x:c>
      <x:c r="R56" s="3" t="str">
        <x:v>unknown</x:v>
      </x:c>
      <x:c r="S56" s="11"/>
      <x:c r="T56" s="11"/>
      <x:c r="U56" s="11"/>
      <x:c r="V56" s="3" t="str">
        <x:v>B0_84bacc4c6b66_017497</x:v>
      </x:c>
      <x:c r="W56" s="3" t="str">
        <x:v>6aa94d3eba49f6160637e5bbfa293310753862311ee5761c8eb1e84d3eca73d6</x:v>
      </x:c>
    </x:row>
    <x:row r="57" ht="100" customHeight="1">
      <x:c r="A57" s="3" t="str">
        <x:v>V31-091</x:v>
      </x:c>
      <x:c r="B57" s="3" t="str">
        <x:v>否</x:v>
      </x:c>
      <x:c r="C57" s="3" t="str">
        <x:v>Practik Lux Eco</x:v>
      </x:c>
      <x:c r="D57" s="3" t="str">
        <x:v>观察</x:v>
      </x:c>
      <x:c r="E57" s="3" t="str">
        <x:v>观察</x:v>
      </x:c>
      <x:c r="F57" s="3" t="str">
        <x:v>Practik Lux Eco缺商品主体名词，维持信息不足，不猜品牌型号对应品类。</x:v>
      </x:c>
      <x:c r="G57" s="3" t="str">
        <x:v>待确认：INFORMATION_INSUFFICIENT</x:v>
      </x:c>
      <x:c r="H57" s="3" t="str">
        <x:v>否</x:v>
      </x:c>
      <x:c r="I57" s="3" t="str">
        <x:v>未明确类型的品牌型号商品</x:v>
      </x:c>
      <x:c r="J57" s="3" t="str"/>
      <x:c r="K57" s="3" t="str"/>
      <x:c r="L57" s="3" t="str">
        <x:v>none</x:v>
      </x:c>
      <x:c r="M57" s="3" t="str">
        <x:v>unknown</x:v>
      </x:c>
      <x:c r="N57" s="3" t="str">
        <x:v>未明确类型的品牌型号商品</x:v>
      </x:c>
      <x:c r="O57" s="3" t="str"/>
      <x:c r="P57" s="3" t="str"/>
      <x:c r="Q57" s="3" t="str">
        <x:v>none</x:v>
      </x:c>
      <x:c r="R57" s="3" t="str">
        <x:v>unknown</x:v>
      </x:c>
      <x:c r="S57" s="11"/>
      <x:c r="T57" s="11"/>
      <x:c r="U57" s="11"/>
      <x:c r="V57" s="3" t="str">
        <x:v>B0_84bacc4c6b66_016277</x:v>
      </x:c>
      <x:c r="W57" s="3" t="str">
        <x:v>ddc10c0effc8203f0e353266eb0d0250228169e27021083a471b0a2ff9c37516</x:v>
      </x:c>
    </x:row>
    <x:row r="58" ht="100" customHeight="1">
      <x:c r="A58" s="3" t="str">
        <x:v>V31-112</x:v>
      </x:c>
      <x:c r="B58" s="3" t="str">
        <x:v>否</x:v>
      </x:c>
      <x:c r="C58" s="3" t="str">
        <x:v>ONA BLOCK PRO 175 G</x:v>
      </x:c>
      <x:c r="D58" s="3" t="str">
        <x:v>观察</x:v>
      </x:c>
      <x:c r="E58" s="3" t="str">
        <x:v>观察</x:v>
      </x:c>
      <x:c r="F58" s="3" t="str">
        <x:v>ONA BLOCK PRO与175G不足以从原题证明用途；不借品牌常识编造除味或清洁功能。</x:v>
      </x:c>
      <x:c r="G58" s="3" t="str">
        <x:v>待确认：INFORMATION_INSUFFICIENT</x:v>
      </x:c>
      <x:c r="H58" s="3" t="str">
        <x:v>否</x:v>
      </x:c>
      <x:c r="I58" s="3" t="str">
        <x:v>未明确类型的ONA块状产品</x:v>
      </x:c>
      <x:c r="J58" s="3" t="str"/>
      <x:c r="K58" s="3" t="str"/>
      <x:c r="L58" s="3" t="str">
        <x:v>none</x:v>
      </x:c>
      <x:c r="M58" s="3" t="str">
        <x:v>unknown</x:v>
      </x:c>
      <x:c r="N58" s="3" t="str">
        <x:v>未明确类型的ONA块状产品</x:v>
      </x:c>
      <x:c r="O58" s="3" t="str"/>
      <x:c r="P58" s="3" t="str"/>
      <x:c r="Q58" s="3" t="str">
        <x:v>none</x:v>
      </x:c>
      <x:c r="R58" s="3" t="str">
        <x:v>unknown</x:v>
      </x:c>
      <x:c r="S58" s="11"/>
      <x:c r="T58" s="11"/>
      <x:c r="U58" s="11"/>
      <x:c r="V58" s="3" t="str">
        <x:v>B0_84bacc4c6b66_014492</x:v>
      </x:c>
      <x:c r="W58" s="3" t="str">
        <x:v>77f58f18bf497299324ce874ddb5421fe1814a6bb6586331df9e126ab9fe8546</x:v>
      </x:c>
    </x:row>
    <x:row r="59" ht="100" customHeight="1">
      <x:c r="A59" s="3" t="str">
        <x:v>V31-177</x:v>
      </x:c>
      <x:c r="B59" s="3" t="str">
        <x:v>否</x:v>
      </x:c>
      <x:c r="C59" s="3" t="str">
        <x:v>Buki France 5426 - Professional Studio alfarería</x:v>
      </x:c>
      <x:c r="D59" s="3" t="str">
        <x:v>观察</x:v>
      </x:c>
      <x:c r="E59" s="3" t="str">
        <x:v>观察</x:v>
      </x:c>
      <x:c r="F59" s="3" t="str">
        <x:v>alfarería支持陶艺领域，但Professional Studio不能证明是否含电动陶轮或仅材料套装；保留信息不足，不推成工业设备。</x:v>
      </x:c>
      <x:c r="G59" s="3" t="str">
        <x:v>待确认：INFORMATION_INSUFFICIENT</x:v>
      </x:c>
      <x:c r="H59" s="3" t="str">
        <x:v>否</x:v>
      </x:c>
      <x:c r="I59" s="3" t="str">
        <x:v>内容未明的陶艺学习套件</x:v>
      </x:c>
      <x:c r="J59" s="3" t="str"/>
      <x:c r="K59" s="3" t="str"/>
      <x:c r="L59" s="3" t="str">
        <x:v>none</x:v>
      </x:c>
      <x:c r="M59" s="3" t="str">
        <x:v>unknown</x:v>
      </x:c>
      <x:c r="N59" s="3" t="str">
        <x:v>内容未明的陶艺学习套件</x:v>
      </x:c>
      <x:c r="O59" s="3" t="str"/>
      <x:c r="P59" s="3" t="str"/>
      <x:c r="Q59" s="3" t="str">
        <x:v>none</x:v>
      </x:c>
      <x:c r="R59" s="3" t="str">
        <x:v>unknown</x:v>
      </x:c>
      <x:c r="S59" s="11"/>
      <x:c r="T59" s="11"/>
      <x:c r="U59" s="11"/>
      <x:c r="V59" s="3" t="str">
        <x:v>B0_84bacc4c6b66_003490</x:v>
      </x:c>
      <x:c r="W59" s="3" t="str">
        <x:v>86eeeefa19644dc8f2c5c529eea3ac95387674915fa903ec7102f459424b6916</x:v>
      </x:c>
    </x:row>
    <x:row r="60" ht="100" customHeight="1">
      <x:c r="A60" s="3" t="str">
        <x:v>V31-291</x:v>
      </x:c>
      <x:c r="B60" s="3" t="str">
        <x:v>否</x:v>
      </x:c>
      <x:c r="C60" s="3" t="str">
        <x:v>Dyson V15 inalámbrico Detect vacío, Un Color</x:v>
      </x:c>
      <x:c r="D60" s="3" t="str">
        <x:v>观察</x:v>
      </x:c>
      <x:c r="E60" s="3" t="str">
        <x:v>观察</x:v>
      </x:c>
      <x:c r="F60" s="3" t="str">
        <x:v>Dyson V15型号与vacío存在疑似机译异常；仅凭型号知识不能补写原始商品主体，保持来源与信息待核，不改原题。</x:v>
      </x:c>
      <x:c r="G60" s="3" t="str">
        <x:v>待确认：INFORMATION_INSUFFICIENT</x:v>
      </x:c>
      <x:c r="H60" s="3" t="str">
        <x:v>否</x:v>
      </x:c>
      <x:c r="I60" s="3" t="str">
        <x:v>Dyson产品名疑似吸尘器</x:v>
      </x:c>
      <x:c r="J60" s="3" t="str"/>
      <x:c r="K60" s="3" t="str"/>
      <x:c r="L60" s="3" t="str">
        <x:v>none</x:v>
      </x:c>
      <x:c r="M60" s="3" t="str">
        <x:v>unknown</x:v>
      </x:c>
      <x:c r="N60" s="3" t="str">
        <x:v>Dyson产品名疑似吸尘器</x:v>
      </x:c>
      <x:c r="O60" s="3" t="str"/>
      <x:c r="P60" s="3" t="str"/>
      <x:c r="Q60" s="3" t="str">
        <x:v>none</x:v>
      </x:c>
      <x:c r="R60" s="3" t="str">
        <x:v>unknown</x:v>
      </x:c>
      <x:c r="S60" s="11"/>
      <x:c r="T60" s="11"/>
      <x:c r="U60" s="11"/>
      <x:c r="V60" s="3" t="str">
        <x:v>B0_84bacc4c6b66_006458</x:v>
      </x:c>
      <x:c r="W60" s="3" t="str">
        <x:v>870dc83527d2cc1eeb1b9ef4744e0c94a6035354d76519adc3d565a973064329</x:v>
      </x:c>
    </x:row>
    <x:row r="61" ht="100" customHeight="1">
      <x:c r="A61" s="3" t="str">
        <x:v>V31-007</x:v>
      </x:c>
      <x:c r="B61" s="3" t="str">
        <x:v>否</x:v>
      </x:c>
      <x:c r="C61" s="3" t="str">
        <x:v>Marco de Fotos 20x25 cm Negro, Marco Clásico Adecuado para Fotos, Cuadros y Recuerdos, Exposición Horizontal o Vertical en Pared o Mesa</x:v>
      </x:c>
      <x:c r="D61" s="3" t="str">
        <x:v>保留</x:v>
      </x:c>
      <x:c r="E61" s="3" t="str">
        <x:v>保留</x:v>
      </x:c>
      <x:c r="F61" s="3" t="str">
        <x:v>标题明确20×25厘米照片框，与Marco de fotos同类；墙面或桌面陈列由原题支持，不追加材质。</x:v>
      </x:c>
      <x:c r="G61" s="3" t="str">
        <x:v>候选保留，待人工确认</x:v>
      </x:c>
      <x:c r="H61" s="3" t="str">
        <x:v>否</x:v>
      </x:c>
      <x:c r="I61" s="3" t="str">
        <x:v>相框</x:v>
      </x:c>
      <x:c r="J61" s="3" t="str">
        <x:v>2533085</x:v>
      </x:c>
      <x:c r="K61" s="3" t="str">
        <x:v>Marco de fotos</x:v>
      </x:c>
      <x:c r="L61" s="3" t="str">
        <x:v>same_type</x:v>
      </x:c>
      <x:c r="M61" s="3" t="str">
        <x:v>subject</x:v>
      </x:c>
      <x:c r="N61" s="3" t="str">
        <x:v>相框</x:v>
      </x:c>
      <x:c r="O61" s="3" t="str">
        <x:v>2533085</x:v>
      </x:c>
      <x:c r="P61" s="3" t="str">
        <x:v>Marco de fotos</x:v>
      </x:c>
      <x:c r="Q61" s="3" t="str">
        <x:v>same_type</x:v>
      </x:c>
      <x:c r="R61" s="3" t="str">
        <x:v>subject</x:v>
      </x:c>
      <x:c r="S61" s="11"/>
      <x:c r="T61" s="11"/>
      <x:c r="U61" s="11"/>
      <x:c r="V61" s="3" t="str">
        <x:v>B0_84bacc4c6b66_006312</x:v>
      </x:c>
      <x:c r="W61" s="3" t="str">
        <x:v>af85e9062a04f956861591f2a238e25fd0e2a33f3bae02ed3294bb72fd7705d8</x:v>
      </x:c>
    </x:row>
    <x:row r="62" ht="100" customHeight="1">
      <x:c r="A62" s="3" t="str">
        <x:v>V31-026</x:v>
      </x:c>
      <x:c r="B62" s="3" t="str">
        <x:v>否</x:v>
      </x:c>
      <x:c r="C62" s="3" t="str">
        <x:v>Küchenprofi 10 6800 28 00 - Pinzas para asados</x:v>
      </x:c>
      <x:c r="D62" s="3" t="str">
        <x:v>保留</x:v>
      </x:c>
      <x:c r="E62" s="3" t="str">
        <x:v>保留</x:v>
      </x:c>
      <x:c r="F62" s="3" t="str">
        <x:v>烤肉夹与烧烤夹支持相同夹取食物商品族；不推断长度材质或耐热等级。</x:v>
      </x:c>
      <x:c r="G62" s="3" t="str">
        <x:v>候选保留，待人工确认</x:v>
      </x:c>
      <x:c r="H62" s="3" t="str">
        <x:v>否</x:v>
      </x:c>
      <x:c r="I62" s="3" t="str">
        <x:v>烤肉夹</x:v>
      </x:c>
      <x:c r="J62" s="3" t="str">
        <x:v>2574122</x:v>
      </x:c>
      <x:c r="K62" s="3" t="str">
        <x:v>Pinzas para barbacoa</x:v>
      </x:c>
      <x:c r="L62" s="3" t="str">
        <x:v>same_type</x:v>
      </x:c>
      <x:c r="M62" s="3" t="str">
        <x:v>subject</x:v>
      </x:c>
      <x:c r="N62" s="3" t="str">
        <x:v>烤肉夹</x:v>
      </x:c>
      <x:c r="O62" s="3" t="str">
        <x:v>2574122</x:v>
      </x:c>
      <x:c r="P62" s="3" t="str">
        <x:v>Pinzas para barbacoa</x:v>
      </x:c>
      <x:c r="Q62" s="3" t="str">
        <x:v>same_type</x:v>
      </x:c>
      <x:c r="R62" s="3" t="str">
        <x:v>subject</x:v>
      </x:c>
      <x:c r="S62" s="11"/>
      <x:c r="T62" s="11"/>
      <x:c r="U62" s="11"/>
      <x:c r="V62" s="3" t="str">
        <x:v>B0_84bacc4c6b66_011028</x:v>
      </x:c>
      <x:c r="W62" s="3" t="str">
        <x:v>c0c86acde5b2bf4ff7944077d7426d0cf6a1de36a4c15d89375ecc49b5c0753d</x:v>
      </x:c>
    </x:row>
    <x:row r="63" ht="100" customHeight="1">
      <x:c r="A63" s="3" t="str">
        <x:v>V31-118</x:v>
      </x:c>
      <x:c r="B63" s="3" t="str">
        <x:v>否</x:v>
      </x:c>
      <x:c r="C63" s="3" t="str">
        <x:v>Vadobag Fiambrera Sonic Eat Yum Repeat</x:v>
      </x:c>
      <x:c r="D63" s="3" t="str">
        <x:v>保留</x:v>
      </x:c>
      <x:c r="E63" s="3" t="str">
        <x:v>保留</x:v>
      </x:c>
      <x:c r="F63" s="3" t="str">
        <x:v>Fiambrera直接支持饭盒主体，Sonic为标题保留的主题，不据此推断授权；与Action饭盒同类。</x:v>
      </x:c>
      <x:c r="G63" s="3" t="str">
        <x:v>候选保留，待人工确认</x:v>
      </x:c>
      <x:c r="H63" s="3" t="str">
        <x:v>否</x:v>
      </x:c>
      <x:c r="I63" s="3" t="str">
        <x:v>儿童午餐盒</x:v>
      </x:c>
      <x:c r="J63" s="3" t="str">
        <x:v>3002315</x:v>
      </x:c>
      <x:c r="K63" s="3" t="str">
        <x:v>Fiambrera</x:v>
      </x:c>
      <x:c r="L63" s="3" t="str">
        <x:v>same_type</x:v>
      </x:c>
      <x:c r="M63" s="3" t="str">
        <x:v>subject</x:v>
      </x:c>
      <x:c r="N63" s="3" t="str">
        <x:v>儿童午餐盒</x:v>
      </x:c>
      <x:c r="O63" s="3" t="str">
        <x:v>3002315</x:v>
      </x:c>
      <x:c r="P63" s="3" t="str">
        <x:v>Fiambrera</x:v>
      </x:c>
      <x:c r="Q63" s="3" t="str">
        <x:v>same_type</x:v>
      </x:c>
      <x:c r="R63" s="3" t="str">
        <x:v>subject</x:v>
      </x:c>
      <x:c r="S63" s="11"/>
      <x:c r="T63" s="11"/>
      <x:c r="U63" s="11"/>
      <x:c r="V63" s="3" t="str">
        <x:v>B0_84bacc4c6b66_021178</x:v>
      </x:c>
      <x:c r="W63" s="3" t="str">
        <x:v>8b4ab18d4c2e717ee0c1c059570a6fdc496de4c2b350c8323a154023e0c4c286</x:v>
      </x:c>
    </x:row>
    <x:row r="64" ht="100" customHeight="1">
      <x:c r="A64" s="3" t="str">
        <x:v>V31-281</x:v>
      </x:c>
      <x:c r="B64" s="3" t="str">
        <x:v>否</x:v>
      </x:c>
      <x:c r="C64" s="3" t="str">
        <x:v>shinfly Protectores de Fieltro autoadhesivos para Muebles – Pack 60 – 3 mm Grosor Almohadillas Antideslizantes para Suelos y Deslizadores de sillas – Negro</x:v>
      </x:c>
      <x:c r="D64" s="3" t="str">
        <x:v>保留</x:v>
      </x:c>
      <x:c r="E64" s="3" t="str">
        <x:v>保留</x:v>
      </x:c>
      <x:c r="F64" s="3" t="str">
        <x:v>替换泛地板保护器参照为明确Fieltros antiarañazos，支持家具防刮毛毡垫；不把Antideslizantes当已验证性能。</x:v>
      </x:c>
      <x:c r="G64" s="3" t="str">
        <x:v>候选保留，待人工确认</x:v>
      </x:c>
      <x:c r="H64" s="3" t="str">
        <x:v>是</x:v>
      </x:c>
      <x:c r="I64" s="3" t="str">
        <x:v>自粘家具脚毛毡垫</x:v>
      </x:c>
      <x:c r="J64" s="3" t="str">
        <x:v>3205763</x:v>
      </x:c>
      <x:c r="K64" s="3" t="str">
        <x:v>Fieltros antiarañazos</x:v>
      </x:c>
      <x:c r="L64" s="3" t="str">
        <x:v>same_type</x:v>
      </x:c>
      <x:c r="M64" s="3" t="str">
        <x:v>subject</x:v>
      </x:c>
      <x:c r="N64" s="3" t="str">
        <x:v>自粘家具脚毛毡垫</x:v>
      </x:c>
      <x:c r="O64" s="3" t="str">
        <x:v>3013981</x:v>
      </x:c>
      <x:c r="P64" s="3" t="str">
        <x:v>Protectores de suelo</x:v>
      </x:c>
      <x:c r="Q64" s="3" t="str">
        <x:v>same_type</x:v>
      </x:c>
      <x:c r="R64" s="3" t="str">
        <x:v>subject</x:v>
      </x:c>
      <x:c r="S64" s="11"/>
      <x:c r="T64" s="11"/>
      <x:c r="U64" s="11"/>
      <x:c r="V64" s="3" t="str">
        <x:v>B0_84bacc4c6b66_024822</x:v>
      </x:c>
      <x:c r="W64" s="3" t="str">
        <x:v>0aad8856535e90fdbf249987df0f1be2b1c813505312a8eddf235dbe89bdb283</x:v>
      </x:c>
    </x:row>
    <x:row r="65" ht="100" customHeight="1">
      <x:c r="A65" s="3" t="str">
        <x:v>V31-300</x:v>
      </x:c>
      <x:c r="B65" s="3" t="str">
        <x:v>否</x:v>
      </x:c>
      <x:c r="C65" s="3" t="str">
        <x:v>Nordic Ware Molde para pan de flores silvestres, 6 tazas, caramelo</x:v>
      </x:c>
      <x:c r="D65" s="3" t="str">
        <x:v>保留</x:v>
      </x:c>
      <x:c r="E65" s="3" t="str">
        <x:v>保留</x:v>
      </x:c>
      <x:c r="F65" s="3" t="str">
        <x:v>标题是花卉纹面包烤模，6 tazas是原题容量表达，非6个杯子；通用烤模仅相关类型，保留主商品族，不证明花形或容量相同。</x:v>
      </x:c>
      <x:c r="G65" s="3" t="str">
        <x:v>候选保留，待人工确认</x:v>
      </x:c>
      <x:c r="H65" s="3" t="str">
        <x:v>是</x:v>
      </x:c>
      <x:c r="I65" s="3" t="str">
        <x:v>花纹面包烘焙模</x:v>
      </x:c>
      <x:c r="J65" s="3" t="str">
        <x:v>3219813</x:v>
      </x:c>
      <x:c r="K65" s="3" t="str">
        <x:v>Molde para el horno Guardini</x:v>
      </x:c>
      <x:c r="L65" s="3" t="str">
        <x:v>related_type</x:v>
      </x:c>
      <x:c r="M65" s="3" t="str">
        <x:v>subject</x:v>
      </x:c>
      <x:c r="N65" s="3" t="str">
        <x:v>花纹面包烘焙模</x:v>
      </x:c>
      <x:c r="O65" s="3" t="str">
        <x:v>3219813</x:v>
      </x:c>
      <x:c r="P65" s="3" t="str">
        <x:v>Molde para el horno Guardini</x:v>
      </x:c>
      <x:c r="Q65" s="3" t="str">
        <x:v>same_type</x:v>
      </x:c>
      <x:c r="R65" s="3" t="str">
        <x:v>subject</x:v>
      </x:c>
      <x:c r="S65" s="11"/>
      <x:c r="T65" s="11"/>
      <x:c r="U65" s="11"/>
      <x:c r="V65" s="3" t="str">
        <x:v>B0_84bacc4c6b66_014351</x:v>
      </x:c>
      <x:c r="W65" s="3" t="str">
        <x:v>dd1c5fe7e9cd112961ac81cbd0c15914b94fef4dccbb860a7e108d5a297f5072</x:v>
      </x:c>
    </x:row>
  </x:sheetData>
  <x:pageMargins left="0.7" right="0.7" top="0.75" bottom="0.75" header="0.3" footer="0.3"/>
  <x:tableParts count="1">
    <x:tablePart xmlns:r="http://schemas.openxmlformats.org/officeDocument/2006/relationships" r:id="R90de77ca21754f76"/>
  </x:tableParts>
</x:worksheet>
</file>